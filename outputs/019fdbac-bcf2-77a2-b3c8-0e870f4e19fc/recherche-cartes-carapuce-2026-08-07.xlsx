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0bd8c17eeb4d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èse" sheetId="1" r:id="Rebab91e9037e457d"/>
    <x:sheet xmlns:r="http://schemas.openxmlformats.org/officeDocument/2006/relationships" name="Candidats" sheetId="2" r:id="Rdfd002a6402b4e03"/>
    <x:sheet xmlns:r="http://schemas.openxmlformats.org/officeDocument/2006/relationships" name="À trouver images" sheetId="3" r:id="Rf3bf81a8349f4991"/>
    <x:sheet xmlns:r="http://schemas.openxmlformats.org/officeDocument/2006/relationships" name="Pocket séparé" sheetId="4" r:id="R52f9d464ed9743d3"/>
    <x:sheet xmlns:r="http://schemas.openxmlformats.org/officeDocument/2006/relationships" name="Catalogue actuel" sheetId="5" r:id="R887de3844df74524"/>
    <x:sheet xmlns:r="http://schemas.openxmlformats.org/officeDocument/2006/relationships" name="Audit doublons" sheetId="6" r:id="Ree46a0fbb8144021"/>
    <x:sheet xmlns:r="http://schemas.openxmlformats.org/officeDocument/2006/relationships" name="Sources" sheetId="7" r:id="Rb3e85a25f56941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6">
    <x:font>
      <x:sz val="11"/>
      <x:name val="Carlito"/>
    </x:font>
    <x:font>
      <x:b/>
      <x:sz val="20"/>
      <x:color rgb="FFFBF8F1"/>
      <x:name val="Carlito"/>
    </x:font>
    <x:font>
      <x:i/>
      <x:sz val="10"/>
      <x:color rgb="FF5A5E6A"/>
      <x:name val="Carlito"/>
    </x:font>
    <x:font>
      <x:sz val="10"/>
      <x:color rgb="FF1A1F2C"/>
      <x:name val="Carlito"/>
    </x:font>
    <x:font>
      <x:b/>
      <x:sz val="10"/>
      <x:color rgb="FFFFFFFF"/>
      <x:name val="Carlito"/>
    </x:font>
    <x:font>
      <x:b/>
      <x:sz val="11"/>
      <x:color rgb="FFA8485A"/>
      <x:name val="Carlito"/>
    </x:font>
    <x:font>
      <x:b/>
      <x:sz val="10"/>
      <x:color rgb="FF1A1F2C"/>
      <x:name val="Carlito"/>
    </x:font>
    <x:font>
      <x:b/>
      <x:sz val="10"/>
      <x:color rgb="FF5A5E6A"/>
      <x:name val="Carlito"/>
    </x:font>
    <x:font>
      <x:b/>
      <x:sz val="22"/>
      <x:color rgb="FF2A4A6E"/>
      <x:name val="Carlito"/>
    </x:font>
    <x:font>
      <x:b/>
      <x:sz val="22"/>
      <x:color rgb="FFA07A3A"/>
      <x:name val="Carlito"/>
    </x:font>
    <x:font>
      <x:b/>
      <x:sz val="22"/>
      <x:color rgb="FF2A6A4A"/>
      <x:name val="Carlito"/>
    </x:font>
    <x:font>
      <x:b/>
      <x:sz val="22"/>
      <x:color rgb="FFA8485A"/>
      <x:name val="Carlito"/>
    </x:font>
    <x:font>
      <x:b/>
      <x:sz val="11"/>
      <x:color rgb="FFFFFFFF"/>
      <x:name val="Carlito"/>
    </x:font>
    <x:font>
      <x:b/>
      <x:sz val="18"/>
      <x:color rgb="FF2A4A6E"/>
      <x:name val="Carlito"/>
    </x:font>
    <x:font>
      <x:sz val="11"/>
      <x:color rgb="FF1A1F2C"/>
      <x:name val="Carlito"/>
    </x:font>
    <x:font>
      <x:sz val="10"/>
      <x:color rgb="FF5A5E6A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A1F2C"/>
      </x:patternFill>
    </x:fill>
    <x:fill>
      <x:patternFill patternType="solid">
        <x:fgColor rgb="FFF3EFE7"/>
      </x:patternFill>
    </x:fill>
    <x:fill>
      <x:patternFill patternType="solid">
        <x:fgColor rgb="FFEEE3CF"/>
      </x:patternFill>
    </x:fill>
    <x:fill>
      <x:patternFill patternType="solid">
        <x:fgColor rgb="FF2A4A6E"/>
      </x:patternFill>
    </x:fill>
    <x:fill>
      <x:patternFill patternType="solid">
        <x:fgColor rgb="FFF3DEE2"/>
      </x:patternFill>
    </x:fill>
    <x:fill>
      <x:patternFill patternType="solid">
        <x:fgColor rgb="FFFBF8F1"/>
      </x:patternFill>
    </x:fill>
    <x:fill>
      <x:patternFill patternType="solid">
        <x:fgColor rgb="FFDDE8F0"/>
      </x:patternFill>
    </x:fill>
    <x:fill>
      <x:patternFill patternType="solid">
        <x:fgColor rgb="FFA07A3A"/>
      </x:patternFill>
    </x:fill>
    <x:fill>
      <x:patternFill patternType="solid">
        <x:fgColor rgb="FF5A5E6A"/>
      </x:patternFill>
    </x:fill>
  </x:fills>
  <x:borders count="42">
    <x:border/>
    <x:border>
      <x:bottom style="thin">
        <x:color rgb="FFA07A3A"/>
      </x:bottom>
    </x:border>
    <x:border>
      <x:bottom style="medium">
        <x:color rgb="FF1A1F2C"/>
      </x:bottom>
    </x:border>
    <x:border>
      <x:left style="medium">
        <x:color rgb="FF2A4A6E"/>
      </x:left>
      <x:top style="medium">
        <x:color rgb="FF2A4A6E"/>
      </x:top>
    </x:border>
    <x:border>
      <x:right style="medium">
        <x:color rgb="FF2A4A6E"/>
      </x:right>
      <x:top style="medium">
        <x:color rgb="FF2A4A6E"/>
      </x:top>
    </x:border>
    <x:border>
      <x:left style="medium">
        <x:color rgb="FF2A4A6E"/>
      </x:left>
    </x:border>
    <x:border>
      <x:right style="medium">
        <x:color rgb="FF2A4A6E"/>
      </x:right>
    </x:border>
    <x:border>
      <x:left style="medium">
        <x:color rgb="FF2A4A6E"/>
      </x:left>
      <x:bottom style="medium">
        <x:color rgb="FF2A4A6E"/>
      </x:bottom>
    </x:border>
    <x:border>
      <x:right style="medium">
        <x:color rgb="FF2A4A6E"/>
      </x:right>
      <x:bottom style="medium">
        <x:color rgb="FF2A4A6E"/>
      </x:bottom>
    </x:border>
    <x:border>
      <x:left style="medium">
        <x:color rgb="FFA07A3A"/>
      </x:left>
      <x:top style="medium">
        <x:color rgb="FFA07A3A"/>
      </x:top>
    </x:border>
    <x:border>
      <x:right style="medium">
        <x:color rgb="FFA07A3A"/>
      </x:right>
      <x:top style="medium">
        <x:color rgb="FFA07A3A"/>
      </x:top>
    </x:border>
    <x:border>
      <x:left style="medium">
        <x:color rgb="FFA07A3A"/>
      </x:left>
    </x:border>
    <x:border>
      <x:right style="medium">
        <x:color rgb="FFA07A3A"/>
      </x:right>
    </x:border>
    <x:border>
      <x:left style="medium">
        <x:color rgb="FFA07A3A"/>
      </x:left>
      <x:bottom style="medium">
        <x:color rgb="FFA07A3A"/>
      </x:bottom>
    </x:border>
    <x:border>
      <x:right style="medium">
        <x:color rgb="FFA07A3A"/>
      </x:right>
      <x:bottom style="medium">
        <x:color rgb="FFA07A3A"/>
      </x:bottom>
    </x:border>
    <x:border>
      <x:left style="medium">
        <x:color rgb="FF2A6A4A"/>
      </x:left>
      <x:top style="medium">
        <x:color rgb="FF2A6A4A"/>
      </x:top>
    </x:border>
    <x:border>
      <x:right style="medium">
        <x:color rgb="FF2A6A4A"/>
      </x:right>
      <x:top style="medium">
        <x:color rgb="FF2A6A4A"/>
      </x:top>
    </x:border>
    <x:border>
      <x:left style="medium">
        <x:color rgb="FF2A6A4A"/>
      </x:left>
    </x:border>
    <x:border>
      <x:right style="medium">
        <x:color rgb="FF2A6A4A"/>
      </x:right>
    </x:border>
    <x:border>
      <x:left style="medium">
        <x:color rgb="FF2A6A4A"/>
      </x:left>
      <x:bottom style="medium">
        <x:color rgb="FF2A6A4A"/>
      </x:bottom>
    </x:border>
    <x:border>
      <x:right style="medium">
        <x:color rgb="FF2A6A4A"/>
      </x:right>
      <x:bottom style="medium">
        <x:color rgb="FF2A6A4A"/>
      </x:bottom>
    </x:border>
    <x:border>
      <x:left style="medium">
        <x:color rgb="FFA8485A"/>
      </x:left>
      <x:top style="medium">
        <x:color rgb="FFA8485A"/>
      </x:top>
    </x:border>
    <x:border>
      <x:right style="medium">
        <x:color rgb="FFA8485A"/>
      </x:right>
      <x:top style="medium">
        <x:color rgb="FFA8485A"/>
      </x:top>
    </x:border>
    <x:border>
      <x:left style="medium">
        <x:color rgb="FFA8485A"/>
      </x:left>
    </x:border>
    <x:border>
      <x:right style="medium">
        <x:color rgb="FFA8485A"/>
      </x:right>
    </x:border>
    <x:border>
      <x:left style="medium">
        <x:color rgb="FFA8485A"/>
      </x:left>
      <x:bottom style="medium">
        <x:color rgb="FFA8485A"/>
      </x:bottom>
    </x:border>
    <x:border>
      <x:right style="medium">
        <x:color rgb="FFA8485A"/>
      </x:right>
      <x:bottom style="medium">
        <x:color rgb="FFA8485A"/>
      </x:bottom>
    </x:border>
    <x:border>
      <x:left style="thin">
        <x:color rgb="FFD5CFC4"/>
      </x:left>
      <x:top style="thin">
        <x:color rgb="FFD5CFC4"/>
      </x:top>
    </x:border>
    <x:border>
      <x:right style="thin">
        <x:color rgb="FFD5CFC4"/>
      </x:right>
      <x:top style="thin">
        <x:color rgb="FFD5CFC4"/>
      </x:top>
    </x:border>
    <x:border>
      <x:left style="thin">
        <x:color rgb="FFD5CFC4"/>
      </x:left>
      <x:bottom style="thin">
        <x:color rgb="FFD5CFC4"/>
      </x:bottom>
    </x:border>
    <x:border>
      <x:right style="thin">
        <x:color rgb="FFD5CFC4"/>
      </x:right>
      <x:bottom style="thin">
        <x:color rgb="FFD5CFC4"/>
      </x:bottom>
    </x:border>
    <x:border>
      <x:left style="thin">
        <x:color rgb="FFA07A3A"/>
      </x:left>
      <x:top style="thin">
        <x:color rgb="FFA07A3A"/>
      </x:top>
    </x:border>
    <x:border>
      <x:top style="thin">
        <x:color rgb="FFA07A3A"/>
      </x:top>
    </x:border>
    <x:border>
      <x:right style="thin">
        <x:color rgb="FFA07A3A"/>
      </x:right>
      <x:top style="thin">
        <x:color rgb="FFA07A3A"/>
      </x:top>
    </x:border>
    <x:border>
      <x:left style="thin">
        <x:color rgb="FFA07A3A"/>
      </x:left>
    </x:border>
    <x:border>
      <x:right style="thin">
        <x:color rgb="FFA07A3A"/>
      </x:right>
    </x:border>
    <x:border>
      <x:left style="thin">
        <x:color rgb="FFA07A3A"/>
      </x:left>
      <x:bottom style="thin">
        <x:color rgb="FFA07A3A"/>
      </x:bottom>
    </x:border>
    <x:border>
      <x:right style="thin">
        <x:color rgb="FFA07A3A"/>
      </x:right>
      <x:bottom style="thin">
        <x:color rgb="FFA07A3A"/>
      </x:bottom>
    </x:border>
    <x:border>
      <x:top style="thin">
        <x:color rgb="FFD5CFC4"/>
      </x:top>
    </x:border>
    <x:border>
      <x:left style="thin">
        <x:color rgb="FFD5CFC4"/>
      </x:left>
    </x:border>
    <x:border>
      <x:right style="thin">
        <x:color rgb="FFD5CFC4"/>
      </x:right>
    </x:border>
    <x:border>
      <x:bottom style="thin">
        <x:color rgb="FFD5CFC4"/>
      </x:bottom>
    </x:border>
  </x:borders>
  <x:cellStyleXfs count="1">
    <x:xf numFmtId="0" fontId="0" fillId="0" borderId="0"/>
  </x:cellStyleXfs>
  <x:cellXfs count="19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0" fillId="7" borderId="3" xfId="0" applyNumberFormat="1" applyFont="1" applyFill="1" applyBorder="1"/>
    <x:xf numFmtId="0" fontId="0" fillId="7" borderId="4" xfId="0" applyNumberFormat="1" applyFont="1" applyFill="1" applyBorder="1"/>
    <x:xf numFmtId="0" fontId="0" fillId="7" borderId="5" xfId="0" applyNumberFormat="1" applyFont="1" applyFill="1" applyBorder="1"/>
    <x:xf numFmtId="0" fontId="0" fillId="7" borderId="6" xfId="0" applyNumberFormat="1" applyFont="1" applyFill="1" applyBorder="1"/>
    <x:xf numFmtId="0" fontId="0" fillId="7" borderId="7" xfId="0" applyNumberFormat="1" applyFont="1" applyFill="1" applyBorder="1"/>
    <x:xf numFmtId="0" fontId="0" fillId="7" borderId="8" xfId="0" applyNumberFormat="1" applyFont="1" applyFill="1" applyBorder="1"/>
    <x:xf numFmtId="0" fontId="0" fillId="7" borderId="3" xfId="0" applyNumberFormat="1" applyFont="1" applyFill="1" applyBorder="1" applyAlignment="1">
      <x:alignment vertical="center"/>
    </x:xf>
    <x:xf numFmtId="0" fontId="0" fillId="7" borderId="4" xfId="0" applyNumberFormat="1" applyFont="1" applyFill="1" applyBorder="1" applyAlignment="1">
      <x:alignment vertical="center"/>
    </x:xf>
    <x:xf numFmtId="0" fontId="0" fillId="7" borderId="5" xfId="0" applyNumberFormat="1" applyFont="1" applyFill="1" applyBorder="1" applyAlignment="1">
      <x:alignment vertical="center"/>
    </x:xf>
    <x:xf numFmtId="0" fontId="0" fillId="7" borderId="6" xfId="0" applyNumberFormat="1" applyFont="1" applyFill="1" applyBorder="1" applyAlignment="1">
      <x:alignment vertical="center"/>
    </x:xf>
    <x:xf numFmtId="0" fontId="0" fillId="7" borderId="7" xfId="0" applyNumberFormat="1" applyFont="1" applyFill="1" applyBorder="1" applyAlignment="1">
      <x:alignment vertical="center"/>
    </x:xf>
    <x:xf numFmtId="0" fontId="0" fillId="7" borderId="8" xfId="0" applyNumberFormat="1" applyFont="1" applyFill="1" applyBorder="1" applyAlignment="1">
      <x:alignment vertical="center"/>
    </x:xf>
    <x:xf numFmtId="0" fontId="7" fillId="7" borderId="3" xfId="0" applyNumberFormat="1" applyFont="1" applyFill="1" applyBorder="1" applyAlignment="1">
      <x:alignment vertical="center"/>
    </x:xf>
    <x:xf numFmtId="0" fontId="7" fillId="7" borderId="4" xfId="0" applyNumberFormat="1" applyFont="1" applyFill="1" applyBorder="1" applyAlignment="1">
      <x:alignment vertical="center"/>
    </x:xf>
    <x:xf numFmtId="0" fontId="8" fillId="7" borderId="5" xfId="0" applyNumberFormat="1" applyFont="1" applyFill="1" applyBorder="1" applyAlignment="1">
      <x:alignment vertical="center"/>
    </x:xf>
    <x:xf numFmtId="0" fontId="8" fillId="7" borderId="6" xfId="0" applyNumberFormat="1" applyFont="1" applyFill="1" applyBorder="1" applyAlignment="1">
      <x:alignment vertical="center"/>
    </x:xf>
    <x:xf numFmtId="0" fontId="8" fillId="7" borderId="7" xfId="0" applyNumberFormat="1" applyFont="1" applyFill="1" applyBorder="1" applyAlignment="1">
      <x:alignment vertical="center"/>
    </x:xf>
    <x:xf numFmtId="0" fontId="8" fillId="7" borderId="8" xfId="0" applyNumberFormat="1" applyFont="1" applyFill="1" applyBorder="1" applyAlignment="1">
      <x:alignment vertical="center"/>
    </x:xf>
    <x:xf numFmtId="0" fontId="8" fillId="7" borderId="5" xfId="0" applyNumberFormat="1" applyFont="1" applyFill="1" applyBorder="1" applyAlignment="1">
      <x:alignment horizontal="center" vertical="center"/>
    </x:xf>
    <x:xf numFmtId="0" fontId="8" fillId="7" borderId="6" xfId="0" applyNumberFormat="1" applyFont="1" applyFill="1" applyBorder="1" applyAlignment="1">
      <x:alignment horizontal="center" vertical="center"/>
    </x:xf>
    <x:xf numFmtId="0" fontId="8" fillId="7" borderId="7" xfId="0" applyNumberFormat="1" applyFont="1" applyFill="1" applyBorder="1" applyAlignment="1">
      <x:alignment horizontal="center" vertical="center"/>
    </x:xf>
    <x:xf numFmtId="0" fontId="8" fillId="7" borderId="8" xfId="0" applyNumberFormat="1" applyFont="1" applyFill="1" applyBorder="1" applyAlignment="1">
      <x:alignment horizontal="center" vertical="center"/>
    </x:xf>
    <x:xf numFmtId="0" fontId="0" fillId="7" borderId="9" xfId="0" applyNumberFormat="1" applyFont="1" applyFill="1" applyBorder="1"/>
    <x:xf numFmtId="0" fontId="0" fillId="7" borderId="10" xfId="0" applyNumberFormat="1" applyFont="1" applyFill="1" applyBorder="1"/>
    <x:xf numFmtId="0" fontId="0" fillId="7" borderId="11" xfId="0" applyNumberFormat="1" applyFont="1" applyFill="1" applyBorder="1"/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9" xfId="0" applyNumberFormat="1" applyFont="1" applyFill="1" applyBorder="1" applyAlignment="1">
      <x:alignment vertical="center"/>
    </x:xf>
    <x:xf numFmtId="0" fontId="0" fillId="7" borderId="10" xfId="0" applyNumberFormat="1" applyFont="1" applyFill="1" applyBorder="1" applyAlignment="1">
      <x:alignment vertical="center"/>
    </x:xf>
    <x:xf numFmtId="0" fontId="0" fillId="7" borderId="11" xfId="0" applyNumberFormat="1" applyFont="1" applyFill="1" applyBorder="1" applyAlignment="1">
      <x:alignment vertical="center"/>
    </x:xf>
    <x:xf numFmtId="0" fontId="0" fillId="7" borderId="12" xfId="0" applyNumberFormat="1" applyFont="1" applyFill="1" applyBorder="1" applyAlignment="1">
      <x:alignment vertical="center"/>
    </x:xf>
    <x:xf numFmtId="0" fontId="0" fillId="7" borderId="13" xfId="0" applyNumberFormat="1" applyFont="1" applyFill="1" applyBorder="1" applyAlignment="1">
      <x:alignment vertical="center"/>
    </x:xf>
    <x:xf numFmtId="0" fontId="0" fillId="7" borderId="14" xfId="0" applyNumberFormat="1" applyFont="1" applyFill="1" applyBorder="1" applyAlignment="1">
      <x:alignment vertical="center"/>
    </x:xf>
    <x:xf numFmtId="0" fontId="7" fillId="7" borderId="9" xfId="0" applyNumberFormat="1" applyFont="1" applyFill="1" applyBorder="1" applyAlignment="1">
      <x:alignment vertical="center"/>
    </x:xf>
    <x:xf numFmtId="0" fontId="7" fillId="7" borderId="10" xfId="0" applyNumberFormat="1" applyFont="1" applyFill="1" applyBorder="1" applyAlignment="1">
      <x:alignment vertical="center"/>
    </x:xf>
    <x:xf numFmtId="0" fontId="9" fillId="7" borderId="11" xfId="0" applyNumberFormat="1" applyFont="1" applyFill="1" applyBorder="1" applyAlignment="1">
      <x:alignment vertical="center"/>
    </x:xf>
    <x:xf numFmtId="0" fontId="9" fillId="7" borderId="12" xfId="0" applyNumberFormat="1" applyFont="1" applyFill="1" applyBorder="1" applyAlignment="1">
      <x:alignment vertical="center"/>
    </x:xf>
    <x:xf numFmtId="0" fontId="9" fillId="7" borderId="13" xfId="0" applyNumberFormat="1" applyFont="1" applyFill="1" applyBorder="1" applyAlignment="1">
      <x:alignment vertical="center"/>
    </x:xf>
    <x:xf numFmtId="0" fontId="9" fillId="7" borderId="14" xfId="0" applyNumberFormat="1" applyFont="1" applyFill="1" applyBorder="1" applyAlignment="1">
      <x:alignment vertical="center"/>
    </x:xf>
    <x:xf numFmtId="0" fontId="9" fillId="7" borderId="11" xfId="0" applyNumberFormat="1" applyFont="1" applyFill="1" applyBorder="1" applyAlignment="1">
      <x:alignment horizontal="center" vertical="center"/>
    </x:xf>
    <x:xf numFmtId="0" fontId="9" fillId="7" borderId="12" xfId="0" applyNumberFormat="1" applyFont="1" applyFill="1" applyBorder="1" applyAlignment="1">
      <x:alignment horizontal="center" vertical="center"/>
    </x:xf>
    <x:xf numFmtId="0" fontId="9" fillId="7" borderId="13" xfId="0" applyNumberFormat="1" applyFont="1" applyFill="1" applyBorder="1" applyAlignment="1">
      <x:alignment horizontal="center" vertical="center"/>
    </x:xf>
    <x:xf numFmtId="0" fontId="9" fillId="7" borderId="14" xfId="0" applyNumberFormat="1" applyFont="1" applyFill="1" applyBorder="1" applyAlignment="1">
      <x:alignment horizontal="center" vertical="center"/>
    </x:xf>
    <x:xf numFmtId="0" fontId="0" fillId="7" borderId="15" xfId="0" applyNumberFormat="1" applyFont="1" applyFill="1" applyBorder="1"/>
    <x:xf numFmtId="0" fontId="0" fillId="7" borderId="16" xfId="0" applyNumberFormat="1" applyFont="1" applyFill="1" applyBorder="1"/>
    <x:xf numFmtId="0" fontId="0" fillId="7" borderId="17" xfId="0" applyNumberFormat="1" applyFont="1" applyFill="1" applyBorder="1"/>
    <x:xf numFmtId="0" fontId="0" fillId="7" borderId="18" xfId="0" applyNumberFormat="1" applyFont="1" applyFill="1" applyBorder="1"/>
    <x:xf numFmtId="0" fontId="0" fillId="7" borderId="19" xfId="0" applyNumberFormat="1" applyFont="1" applyFill="1" applyBorder="1"/>
    <x:xf numFmtId="0" fontId="0" fillId="7" borderId="20" xfId="0" applyNumberFormat="1" applyFont="1" applyFill="1" applyBorder="1"/>
    <x:xf numFmtId="0" fontId="0" fillId="7" borderId="15" xfId="0" applyNumberFormat="1" applyFont="1" applyFill="1" applyBorder="1" applyAlignment="1">
      <x:alignment vertical="center"/>
    </x:xf>
    <x:xf numFmtId="0" fontId="0" fillId="7" borderId="16" xfId="0" applyNumberFormat="1" applyFont="1" applyFill="1" applyBorder="1" applyAlignment="1">
      <x:alignment vertical="center"/>
    </x:xf>
    <x:xf numFmtId="0" fontId="0" fillId="7" borderId="17" xfId="0" applyNumberFormat="1" applyFont="1" applyFill="1" applyBorder="1" applyAlignment="1">
      <x:alignment vertical="center"/>
    </x:xf>
    <x:xf numFmtId="0" fontId="0" fillId="7" borderId="18" xfId="0" applyNumberFormat="1" applyFont="1" applyFill="1" applyBorder="1" applyAlignment="1">
      <x:alignment vertical="center"/>
    </x:xf>
    <x:xf numFmtId="0" fontId="0" fillId="7" borderId="19" xfId="0" applyNumberFormat="1" applyFont="1" applyFill="1" applyBorder="1" applyAlignment="1">
      <x:alignment vertical="center"/>
    </x:xf>
    <x:xf numFmtId="0" fontId="0" fillId="7" borderId="20" xfId="0" applyNumberFormat="1" applyFont="1" applyFill="1" applyBorder="1" applyAlignment="1">
      <x:alignment vertical="center"/>
    </x:xf>
    <x:xf numFmtId="0" fontId="7" fillId="7" borderId="15" xfId="0" applyNumberFormat="1" applyFont="1" applyFill="1" applyBorder="1" applyAlignment="1">
      <x:alignment vertical="center"/>
    </x:xf>
    <x:xf numFmtId="0" fontId="7" fillId="7" borderId="16" xfId="0" applyNumberFormat="1" applyFont="1" applyFill="1" applyBorder="1" applyAlignment="1">
      <x:alignment vertical="center"/>
    </x:xf>
    <x:xf numFmtId="0" fontId="10" fillId="7" borderId="17" xfId="0" applyNumberFormat="1" applyFont="1" applyFill="1" applyBorder="1" applyAlignment="1">
      <x:alignment vertical="center"/>
    </x:xf>
    <x:xf numFmtId="0" fontId="10" fillId="7" borderId="18" xfId="0" applyNumberFormat="1" applyFont="1" applyFill="1" applyBorder="1" applyAlignment="1">
      <x:alignment vertical="center"/>
    </x:xf>
    <x:xf numFmtId="0" fontId="10" fillId="7" borderId="19" xfId="0" applyNumberFormat="1" applyFont="1" applyFill="1" applyBorder="1" applyAlignment="1">
      <x:alignment vertical="center"/>
    </x:xf>
    <x:xf numFmtId="0" fontId="10" fillId="7" borderId="20" xfId="0" applyNumberFormat="1" applyFont="1" applyFill="1" applyBorder="1" applyAlignment="1">
      <x:alignment vertical="center"/>
    </x:xf>
    <x:xf numFmtId="0" fontId="10" fillId="7" borderId="17" xfId="0" applyNumberFormat="1" applyFont="1" applyFill="1" applyBorder="1" applyAlignment="1">
      <x:alignment horizontal="center" vertical="center"/>
    </x:xf>
    <x:xf numFmtId="0" fontId="10" fillId="7" borderId="18" xfId="0" applyNumberFormat="1" applyFont="1" applyFill="1" applyBorder="1" applyAlignment="1">
      <x:alignment horizontal="center" vertical="center"/>
    </x:xf>
    <x:xf numFmtId="0" fontId="10" fillId="7" borderId="19" xfId="0" applyNumberFormat="1" applyFont="1" applyFill="1" applyBorder="1" applyAlignment="1">
      <x:alignment horizontal="center" vertical="center"/>
    </x:xf>
    <x:xf numFmtId="0" fontId="10" fillId="7" borderId="20" xfId="0" applyNumberFormat="1" applyFont="1" applyFill="1" applyBorder="1" applyAlignment="1">
      <x:alignment horizontal="center" vertical="center"/>
    </x:xf>
    <x:xf numFmtId="0" fontId="0" fillId="7" borderId="21" xfId="0" applyNumberFormat="1" applyFont="1" applyFill="1" applyBorder="1"/>
    <x:xf numFmtId="0" fontId="0" fillId="7" borderId="22" xfId="0" applyNumberFormat="1" applyFont="1" applyFill="1" applyBorder="1"/>
    <x:xf numFmtId="0" fontId="0" fillId="7" borderId="23" xfId="0" applyNumberFormat="1" applyFont="1" applyFill="1" applyBorder="1"/>
    <x:xf numFmtId="0" fontId="0" fillId="7" borderId="24" xfId="0" applyNumberFormat="1" applyFont="1" applyFill="1" applyBorder="1"/>
    <x:xf numFmtId="0" fontId="0" fillId="7" borderId="25" xfId="0" applyNumberFormat="1" applyFont="1" applyFill="1" applyBorder="1"/>
    <x:xf numFmtId="0" fontId="0" fillId="7" borderId="26" xfId="0" applyNumberFormat="1" applyFont="1" applyFill="1" applyBorder="1"/>
    <x:xf numFmtId="0" fontId="0" fillId="7" borderId="21" xfId="0" applyNumberFormat="1" applyFont="1" applyFill="1" applyBorder="1" applyAlignment="1">
      <x:alignment vertical="center"/>
    </x:xf>
    <x:xf numFmtId="0" fontId="0" fillId="7" borderId="22" xfId="0" applyNumberFormat="1" applyFont="1" applyFill="1" applyBorder="1" applyAlignment="1">
      <x:alignment vertical="center"/>
    </x:xf>
    <x:xf numFmtId="0" fontId="0" fillId="7" borderId="23" xfId="0" applyNumberFormat="1" applyFont="1" applyFill="1" applyBorder="1" applyAlignment="1">
      <x:alignment vertical="center"/>
    </x:xf>
    <x:xf numFmtId="0" fontId="0" fillId="7" borderId="24" xfId="0" applyNumberFormat="1" applyFont="1" applyFill="1" applyBorder="1" applyAlignment="1">
      <x:alignment vertical="center"/>
    </x:xf>
    <x:xf numFmtId="0" fontId="0" fillId="7" borderId="25" xfId="0" applyNumberFormat="1" applyFont="1" applyFill="1" applyBorder="1" applyAlignment="1">
      <x:alignment vertical="center"/>
    </x:xf>
    <x:xf numFmtId="0" fontId="0" fillId="7" borderId="26" xfId="0" applyNumberFormat="1" applyFont="1" applyFill="1" applyBorder="1" applyAlignment="1">
      <x:alignment vertical="center"/>
    </x:xf>
    <x:xf numFmtId="0" fontId="7" fillId="7" borderId="21" xfId="0" applyNumberFormat="1" applyFont="1" applyFill="1" applyBorder="1" applyAlignment="1">
      <x:alignment vertical="center"/>
    </x:xf>
    <x:xf numFmtId="0" fontId="7" fillId="7" borderId="22" xfId="0" applyNumberFormat="1" applyFont="1" applyFill="1" applyBorder="1" applyAlignment="1">
      <x:alignment vertical="center"/>
    </x:xf>
    <x:xf numFmtId="0" fontId="11" fillId="7" borderId="23" xfId="0" applyNumberFormat="1" applyFont="1" applyFill="1" applyBorder="1" applyAlignment="1">
      <x:alignment vertical="center"/>
    </x:xf>
    <x:xf numFmtId="0" fontId="11" fillId="7" borderId="24" xfId="0" applyNumberFormat="1" applyFont="1" applyFill="1" applyBorder="1" applyAlignment="1">
      <x:alignment vertical="center"/>
    </x:xf>
    <x:xf numFmtId="0" fontId="11" fillId="7" borderId="25" xfId="0" applyNumberFormat="1" applyFont="1" applyFill="1" applyBorder="1" applyAlignment="1">
      <x:alignment vertical="center"/>
    </x:xf>
    <x:xf numFmtId="0" fontId="11" fillId="7" borderId="26" xfId="0" applyNumberFormat="1" applyFont="1" applyFill="1" applyBorder="1" applyAlignment="1">
      <x:alignment vertical="center"/>
    </x:xf>
    <x:xf numFmtId="0" fontId="11" fillId="7" borderId="23" xfId="0" applyNumberFormat="1" applyFont="1" applyFill="1" applyBorder="1" applyAlignment="1">
      <x:alignment horizontal="center" vertical="center"/>
    </x:xf>
    <x:xf numFmtId="0" fontId="11" fillId="7" borderId="24" xfId="0" applyNumberFormat="1" applyFont="1" applyFill="1" applyBorder="1" applyAlignment="1">
      <x:alignment horizontal="center" vertical="center"/>
    </x:xf>
    <x:xf numFmtId="0" fontId="11" fillId="7" borderId="25" xfId="0" applyNumberFormat="1" applyFont="1" applyFill="1" applyBorder="1" applyAlignment="1">
      <x:alignment horizontal="center" vertical="center"/>
    </x:xf>
    <x:xf numFmtId="0" fontId="11" fillId="7" borderId="26" xfId="0" applyNumberFormat="1" applyFont="1" applyFill="1" applyBorder="1" applyAlignment="1">
      <x:alignment horizontal="center" vertical="center"/>
    </x:xf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wrapText="1"/>
    </x:xf>
    <x:xf numFmtId="0" fontId="12" fillId="5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0" fontId="13" fillId="8" borderId="27" xfId="0" applyNumberFormat="1" applyFont="1" applyFill="1" applyBorder="1"/>
    <x:xf numFmtId="0" fontId="13" fillId="8" borderId="28" xfId="0" applyNumberFormat="1" applyFont="1" applyFill="1" applyBorder="1"/>
    <x:xf numFmtId="0" fontId="13" fillId="8" borderId="29" xfId="0" applyNumberFormat="1" applyFont="1" applyFill="1" applyBorder="1"/>
    <x:xf numFmtId="0" fontId="13" fillId="8" borderId="30" xfId="0" applyNumberFormat="1" applyFont="1" applyFill="1" applyBorder="1"/>
    <x:xf numFmtId="0" fontId="13" fillId="8" borderId="27" xfId="0" applyNumberFormat="1" applyFont="1" applyFill="1" applyBorder="1" applyAlignment="1">
      <x:alignment horizontal="center"/>
    </x:xf>
    <x:xf numFmtId="0" fontId="13" fillId="8" borderId="28" xfId="0" applyNumberFormat="1" applyFont="1" applyFill="1" applyBorder="1" applyAlignment="1">
      <x:alignment horizontal="center"/>
    </x:xf>
    <x:xf numFmtId="0" fontId="13" fillId="8" borderId="29" xfId="0" applyNumberFormat="1" applyFont="1" applyFill="1" applyBorder="1" applyAlignment="1">
      <x:alignment horizontal="center"/>
    </x:xf>
    <x:xf numFmtId="0" fontId="13" fillId="8" borderId="30" xfId="0" applyNumberFormat="1" applyFont="1" applyFill="1" applyBorder="1" applyAlignment="1">
      <x:alignment horizontal="center"/>
    </x:xf>
    <x:xf numFmtId="0" fontId="13" fillId="8" borderId="27" xfId="0" applyNumberFormat="1" applyFont="1" applyFill="1" applyBorder="1" applyAlignment="1">
      <x:alignment horizontal="center" vertical="center"/>
    </x:xf>
    <x:xf numFmtId="0" fontId="13" fillId="8" borderId="28" xfId="0" applyNumberFormat="1" applyFont="1" applyFill="1" applyBorder="1" applyAlignment="1">
      <x:alignment horizontal="center" vertical="center"/>
    </x:xf>
    <x:xf numFmtId="0" fontId="13" fillId="8" borderId="29" xfId="0" applyNumberFormat="1" applyFont="1" applyFill="1" applyBorder="1" applyAlignment="1">
      <x:alignment horizontal="center" vertical="center"/>
    </x:xf>
    <x:xf numFmtId="0" fontId="13" fillId="8" borderId="3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0" xfId="0" applyNumberFormat="1" applyFont="1" applyFill="1" applyBorder="1" applyAlignment="1">
      <x:alignment horizontal="center"/>
    </x:xf>
    <x:xf numFmtId="0" fontId="14" fillId="7" borderId="0" xfId="0" applyNumberFormat="1" applyFont="1" applyFill="1" applyBorder="1"/>
    <x:xf numFmtId="0" fontId="14" fillId="7" borderId="31" xfId="0" applyNumberFormat="1" applyFont="1" applyFill="1" applyBorder="1"/>
    <x:xf numFmtId="0" fontId="14" fillId="7" borderId="32" xfId="0" applyNumberFormat="1" applyFont="1" applyFill="1" applyBorder="1"/>
    <x:xf numFmtId="0" fontId="14" fillId="7" borderId="33" xfId="0" applyNumberFormat="1" applyFont="1" applyFill="1" applyBorder="1"/>
    <x:xf numFmtId="0" fontId="14" fillId="7" borderId="34" xfId="0" applyNumberFormat="1" applyFont="1" applyFill="1" applyBorder="1"/>
    <x:xf numFmtId="0" fontId="14" fillId="7" borderId="35" xfId="0" applyNumberFormat="1" applyFont="1" applyFill="1" applyBorder="1"/>
    <x:xf numFmtId="0" fontId="14" fillId="7" borderId="36" xfId="0" applyNumberFormat="1" applyFont="1" applyFill="1" applyBorder="1"/>
    <x:xf numFmtId="0" fontId="14" fillId="7" borderId="1" xfId="0" applyNumberFormat="1" applyFont="1" applyFill="1" applyBorder="1"/>
    <x:xf numFmtId="0" fontId="14" fillId="7" borderId="37" xfId="0" applyNumberFormat="1" applyFont="1" applyFill="1" applyBorder="1"/>
    <x:xf numFmtId="0" fontId="14" fillId="7" borderId="31" xfId="0" applyNumberFormat="1" applyFont="1" applyFill="1" applyBorder="1" applyAlignment="1">
      <x:alignment wrapText="1"/>
    </x:xf>
    <x:xf numFmtId="0" fontId="14" fillId="7" borderId="32" xfId="0" applyNumberFormat="1" applyFont="1" applyFill="1" applyBorder="1" applyAlignment="1">
      <x:alignment wrapText="1"/>
    </x:xf>
    <x:xf numFmtId="0" fontId="14" fillId="7" borderId="33" xfId="0" applyNumberFormat="1" applyFont="1" applyFill="1" applyBorder="1" applyAlignment="1">
      <x:alignment wrapText="1"/>
    </x:xf>
    <x:xf numFmtId="0" fontId="14" fillId="7" borderId="34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wrapText="1"/>
    </x:xf>
    <x:xf numFmtId="0" fontId="14" fillId="7" borderId="35" xfId="0" applyNumberFormat="1" applyFont="1" applyFill="1" applyBorder="1" applyAlignment="1">
      <x:alignment wrapText="1"/>
    </x:xf>
    <x:xf numFmtId="0" fontId="14" fillId="7" borderId="36" xfId="0" applyNumberFormat="1" applyFont="1" applyFill="1" applyBorder="1" applyAlignment="1">
      <x:alignment wrapText="1"/>
    </x:xf>
    <x:xf numFmtId="0" fontId="14" fillId="7" borderId="1" xfId="0" applyNumberFormat="1" applyFont="1" applyFill="1" applyBorder="1" applyAlignment="1">
      <x:alignment wrapText="1"/>
    </x:xf>
    <x:xf numFmtId="0" fontId="14" fillId="7" borderId="37" xfId="0" applyNumberFormat="1" applyFont="1" applyFill="1" applyBorder="1" applyAlignment="1">
      <x:alignment wrapText="1"/>
    </x:xf>
    <x:xf numFmtId="0" fontId="14" fillId="7" borderId="31" xfId="0" applyNumberFormat="1" applyFont="1" applyFill="1" applyBorder="1" applyAlignment="1">
      <x:alignment vertical="top" wrapText="1"/>
    </x:xf>
    <x:xf numFmtId="0" fontId="14" fillId="7" borderId="32" xfId="0" applyNumberFormat="1" applyFont="1" applyFill="1" applyBorder="1" applyAlignment="1">
      <x:alignment vertical="top" wrapText="1"/>
    </x:xf>
    <x:xf numFmtId="0" fontId="14" fillId="7" borderId="33" xfId="0" applyNumberFormat="1" applyFont="1" applyFill="1" applyBorder="1" applyAlignment="1">
      <x:alignment vertical="top" wrapText="1"/>
    </x:xf>
    <x:xf numFmtId="0" fontId="14" fillId="7" borderId="34" xfId="0" applyNumberFormat="1" applyFont="1" applyFill="1" applyBorder="1" applyAlignment="1">
      <x:alignment vertical="top" wrapText="1"/>
    </x:xf>
    <x:xf numFmtId="0" fontId="14" fillId="7" borderId="0" xfId="0" applyNumberFormat="1" applyFont="1" applyFill="1" applyBorder="1" applyAlignment="1">
      <x:alignment vertical="top" wrapText="1"/>
    </x:xf>
    <x:xf numFmtId="0" fontId="14" fillId="7" borderId="35" xfId="0" applyNumberFormat="1" applyFont="1" applyFill="1" applyBorder="1" applyAlignment="1">
      <x:alignment vertical="top" wrapText="1"/>
    </x:xf>
    <x:xf numFmtId="0" fontId="14" fillId="7" borderId="36" xfId="0" applyNumberFormat="1" applyFont="1" applyFill="1" applyBorder="1" applyAlignment="1">
      <x:alignment vertical="top" wrapText="1"/>
    </x:xf>
    <x:xf numFmtId="0" fontId="14" fillId="7" borderId="1" xfId="0" applyNumberFormat="1" applyFont="1" applyFill="1" applyBorder="1" applyAlignment="1">
      <x:alignment vertical="top" wrapText="1"/>
    </x:xf>
    <x:xf numFmtId="0" fontId="14" fillId="7" borderId="37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horizontal="center"/>
    </x:xf>
    <x:xf numFmtId="0" fontId="15" fillId="3" borderId="0" xfId="0" applyNumberFormat="1" applyFont="1" applyFill="1" applyBorder="1"/>
    <x:xf numFmtId="0" fontId="15" fillId="3" borderId="27" xfId="0" applyNumberFormat="1" applyFont="1" applyFill="1" applyBorder="1"/>
    <x:xf numFmtId="0" fontId="15" fillId="3" borderId="38" xfId="0" applyNumberFormat="1" applyFont="1" applyFill="1" applyBorder="1"/>
    <x:xf numFmtId="0" fontId="15" fillId="3" borderId="28" xfId="0" applyNumberFormat="1" applyFont="1" applyFill="1" applyBorder="1"/>
    <x:xf numFmtId="0" fontId="15" fillId="3" borderId="39" xfId="0" applyNumberFormat="1" applyFont="1" applyFill="1" applyBorder="1"/>
    <x:xf numFmtId="0" fontId="15" fillId="3" borderId="40" xfId="0" applyNumberFormat="1" applyFont="1" applyFill="1" applyBorder="1"/>
    <x:xf numFmtId="0" fontId="15" fillId="3" borderId="29" xfId="0" applyNumberFormat="1" applyFont="1" applyFill="1" applyBorder="1"/>
    <x:xf numFmtId="0" fontId="15" fillId="3" borderId="41" xfId="0" applyNumberFormat="1" applyFont="1" applyFill="1" applyBorder="1"/>
    <x:xf numFmtId="0" fontId="15" fillId="3" borderId="30" xfId="0" applyNumberFormat="1" applyFont="1" applyFill="1" applyBorder="1"/>
    <x:xf numFmtId="0" fontId="15" fillId="3" borderId="27" xfId="0" applyNumberFormat="1" applyFont="1" applyFill="1" applyBorder="1" applyAlignment="1">
      <x:alignment wrapText="1"/>
    </x:xf>
    <x:xf numFmtId="0" fontId="15" fillId="3" borderId="38" xfId="0" applyNumberFormat="1" applyFont="1" applyFill="1" applyBorder="1" applyAlignment="1">
      <x:alignment wrapText="1"/>
    </x:xf>
    <x:xf numFmtId="0" fontId="15" fillId="3" borderId="28" xfId="0" applyNumberFormat="1" applyFont="1" applyFill="1" applyBorder="1" applyAlignment="1">
      <x:alignment wrapText="1"/>
    </x:xf>
    <x:xf numFmtId="0" fontId="15" fillId="3" borderId="39" xfId="0" applyNumberFormat="1" applyFont="1" applyFill="1" applyBorder="1" applyAlignment="1">
      <x:alignment wrapText="1"/>
    </x:xf>
    <x:xf numFmtId="0" fontId="15" fillId="3" borderId="0" xfId="0" applyNumberFormat="1" applyFont="1" applyFill="1" applyBorder="1" applyAlignment="1">
      <x:alignment wrapText="1"/>
    </x:xf>
    <x:xf numFmtId="0" fontId="15" fillId="3" borderId="40" xfId="0" applyNumberFormat="1" applyFont="1" applyFill="1" applyBorder="1" applyAlignment="1">
      <x:alignment wrapText="1"/>
    </x:xf>
    <x:xf numFmtId="0" fontId="15" fillId="3" borderId="29" xfId="0" applyNumberFormat="1" applyFont="1" applyFill="1" applyBorder="1" applyAlignment="1">
      <x:alignment wrapText="1"/>
    </x:xf>
    <x:xf numFmtId="0" fontId="15" fillId="3" borderId="41" xfId="0" applyNumberFormat="1" applyFont="1" applyFill="1" applyBorder="1" applyAlignment="1">
      <x:alignment wrapText="1"/>
    </x:xf>
    <x:xf numFmtId="0" fontId="15" fillId="3" borderId="30" xfId="0" applyNumberFormat="1" applyFont="1" applyFill="1" applyBorder="1" applyAlignment="1">
      <x:alignment wrapText="1"/>
    </x:xf>
    <x:xf numFmtId="0" fontId="15" fillId="3" borderId="27" xfId="0" applyNumberFormat="1" applyFont="1" applyFill="1" applyBorder="1" applyAlignment="1">
      <x:alignment vertical="top" wrapText="1"/>
    </x:xf>
    <x:xf numFmtId="0" fontId="15" fillId="3" borderId="38" xfId="0" applyNumberFormat="1" applyFont="1" applyFill="1" applyBorder="1" applyAlignment="1">
      <x:alignment vertical="top" wrapText="1"/>
    </x:xf>
    <x:xf numFmtId="0" fontId="15" fillId="3" borderId="28" xfId="0" applyNumberFormat="1" applyFont="1" applyFill="1" applyBorder="1" applyAlignment="1">
      <x:alignment vertical="top" wrapText="1"/>
    </x:xf>
    <x:xf numFmtId="0" fontId="15" fillId="3" borderId="39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vertical="top" wrapText="1"/>
    </x:xf>
    <x:xf numFmtId="0" fontId="15" fillId="3" borderId="40" xfId="0" applyNumberFormat="1" applyFont="1" applyFill="1" applyBorder="1" applyAlignment="1">
      <x:alignment vertical="top" wrapText="1"/>
    </x:xf>
    <x:xf numFmtId="0" fontId="15" fillId="3" borderId="29" xfId="0" applyNumberFormat="1" applyFont="1" applyFill="1" applyBorder="1" applyAlignment="1">
      <x:alignment vertical="top" wrapText="1"/>
    </x:xf>
    <x:xf numFmtId="0" fontId="15" fillId="3" borderId="41" xfId="0" applyNumberFormat="1" applyFont="1" applyFill="1" applyBorder="1" applyAlignment="1">
      <x:alignment vertical="top" wrapText="1"/>
    </x:xf>
    <x:xf numFmtId="0" fontId="15" fillId="3" borderId="30" xfId="0" applyNumberFormat="1" applyFont="1" applyFill="1" applyBorder="1" applyAlignment="1">
      <x:alignment vertical="top" wrapText="1"/>
    </x:xf>
  </x:cellXfs>
  <x:cellStyles count="1">
    <x:cellStyle name="Normal" xfId="0"/>
  </x:cellStyles>
  <x:dxfs count="15">
    <x:dxf>
      <x:font>
        <x:b/>
        <x:color rgb="FF2A6A4A"/>
      </x:font>
      <x:fill>
        <x:patternFill patternType="solid">
          <x:bgColor rgb="FFDDECE4"/>
        </x:patternFill>
      </x:fill>
    </x:dxf>
    <x:dxf>
      <x:font>
        <x:color rgb="FFA07A3A"/>
      </x:font>
      <x:fill>
        <x:patternFill patternType="solid">
          <x:bgColor rgb="FFEEE3CF"/>
        </x:patternFill>
      </x:fill>
    </x:dxf>
    <x:dxf>
      <x:font>
        <x:color rgb="FF2A6A4A"/>
      </x:font>
      <x:fill>
        <x:patternFill patternType="solid">
          <x:bgColor rgb="FFDDECE4"/>
        </x:patternFill>
      </x:fill>
    </x:dxf>
    <x:dxf>
      <x:font>
        <x:b/>
        <x:color rgb="FFA8485A"/>
      </x:font>
      <x:fill>
        <x:patternFill patternType="solid">
          <x:bgColor rgb="FFF3DEE2"/>
        </x:patternFill>
      </x:fill>
    </x:dxf>
    <x:dxf>
      <x:font>
        <x:b/>
        <x:color rgb="FFA8485A"/>
      </x:font>
      <x:fill>
        <x:patternFill patternType="solid">
          <x:bgColor rgb="FFF3DEE2"/>
        </x:patternFill>
      </x:fill>
    </x:dxf>
    <x:dxf>
      <x:font>
        <x:b/>
        <x:color rgb="FF2A6A4A"/>
      </x:font>
      <x:fill>
        <x:patternFill patternType="solid">
          <x:bgColor rgb="FFDDECE4"/>
        </x:patternFill>
      </x:fill>
    </x:dxf>
    <x:dxf>
      <x:font>
        <x:color rgb="FFA07A3A"/>
      </x:font>
      <x:fill>
        <x:patternFill patternType="solid">
          <x:bgColor rgb="FFEEE3CF"/>
        </x:patternFill>
      </x:fill>
    </x:dxf>
    <x:dxf>
      <x:font>
        <x:b/>
        <x:color rgb="FFA8485A"/>
      </x:font>
      <x:fill>
        <x:patternFill patternType="solid">
          <x:bgColor rgb="FFF3DEE2"/>
        </x:patternFill>
      </x:fill>
    </x:dxf>
    <x:dxf>
      <x:font>
        <x:color rgb="FF2A6A4A"/>
      </x:font>
      <x:fill>
        <x:patternFill patternType="solid">
          <x:bgColor rgb="FFDDECE4"/>
        </x:patternFill>
      </x:fill>
    </x:dxf>
    <x:dxf>
      <x:font>
        <x:b/>
        <x:color rgb="FFA8485A"/>
      </x:font>
      <x:fill>
        <x:patternFill patternType="solid">
          <x:bgColor rgb="FFF3DEE2"/>
        </x:patternFill>
      </x:fill>
    </x:dxf>
    <x:dxf>
      <x:font>
        <x:b/>
        <x:color rgb="FFA8485A"/>
      </x:font>
      <x:fill>
        <x:patternFill patternType="solid">
          <x:bgColor rgb="FFF3DEE2"/>
        </x:patternFill>
      </x:fill>
    </x:dxf>
    <x:dxf>
      <x:font>
        <x:b/>
        <x:color rgb="FFA07A3A"/>
      </x:font>
      <x:fill>
        <x:patternFill patternType="solid">
          <x:bgColor rgb="FFEEE3CF"/>
        </x:patternFill>
      </x:fill>
    </x:dxf>
    <x:dxf>
      <x:font>
        <x:color rgb="FFA8485A"/>
      </x:font>
      <x:fill>
        <x:patternFill patternType="solid">
          <x:bgColor rgb="FFF3DEE2"/>
        </x:patternFill>
      </x:fill>
    </x:dxf>
    <x:dxf>
      <x:font>
        <x:b/>
        <x:color rgb="FFA8485A"/>
      </x:font>
      <x:fill>
        <x:patternFill patternType="solid">
          <x:bgColor rgb="FFF3DEE2"/>
        </x:patternFill>
      </x:fill>
    </x:dxf>
    <x:dxf>
      <x:font>
        <x:color rgb="FFA07A3A"/>
      </x:font>
      <x:fill>
        <x:patternFill patternType="solid">
          <x:bgColor rgb="FFEEE3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577f7c6a81466a" /><Relationship Type="http://schemas.openxmlformats.org/officeDocument/2006/relationships/theme" Target="/xl/theme/theme1.xml" Id="R3e86374562d54e9c" /><Relationship Type="http://schemas.openxmlformats.org/officeDocument/2006/relationships/sharedStrings" Target="/xl/sharedStrings.xml" Id="Rd76974e7d06243b9" /><Relationship Type="http://schemas.openxmlformats.org/officeDocument/2006/relationships/worksheet" Target="/xl/worksheets/sheet1.xml" Id="Rebab91e9037e457d" /><Relationship Type="http://schemas.openxmlformats.org/officeDocument/2006/relationships/worksheet" Target="/xl/worksheets/sheet2.xml" Id="Rdfd002a6402b4e03" /><Relationship Type="http://schemas.openxmlformats.org/officeDocument/2006/relationships/worksheet" Target="/xl/worksheets/sheet3.xml" Id="Rf3bf81a8349f4991" /><Relationship Type="http://schemas.openxmlformats.org/officeDocument/2006/relationships/worksheet" Target="/xl/worksheets/sheet4.xml" Id="R52f9d464ed9743d3" /><Relationship Type="http://schemas.openxmlformats.org/officeDocument/2006/relationships/worksheet" Target="/xl/worksheets/sheet5.xml" Id="R887de3844df74524" /><Relationship Type="http://schemas.openxmlformats.org/officeDocument/2006/relationships/worksheet" Target="/xl/worksheets/sheet6.xml" Id="Ree46a0fbb8144021" /><Relationship Type="http://schemas.openxmlformats.org/officeDocument/2006/relationships/worksheet" Target="/xl/worksheets/sheet7.xml" Id="Rb3e85a25f56941a0" /></Relationships>
</file>

<file path=xl/tables/table1.xml><?xml version="1.0" encoding="utf-8"?>
<x:table xmlns:x="http://schemas.openxmlformats.org/spreadsheetml/2006/main" id="7" name="LanguageSummaryTable" displayName="LanguageSummaryTable" ref="A14:D26" headerRowCount="1" totalsRowCount="0" totalsRowShown="0">
  <x:autoFilter ref="A14:D26"/>
  <x:tableColumns count="4">
    <x:tableColumn id="1" name="Langue"/>
    <x:tableColumn id="2" name="Déjà au catalogue"/>
    <x:tableColumn id="3" name="Candidats manquants"/>
    <x:tableColumn id="4" name="Images à trouv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CandidatesTable" displayName="CandidatesTable" ref="A5:U89" headerRowCount="1" totalsRowCount="0" totalsRowShown="0">
  <x:autoFilter ref="A5:U89"/>
  <x:tableColumns count="21">
    <x:tableColumn id="1" name="Clé anti-doublon"/>
    <x:tableColumn id="2" name="Type"/>
    <x:tableColumn id="3" name="Format"/>
    <x:tableColumn id="4" name="Langue"/>
    <x:tableColumn id="5" name="Pays"/>
    <x:tableColumn id="6" name="Nom de la carte"/>
    <x:tableColumn id="7" name="Set / série"/>
    <x:tableColumn id="8" name="Année"/>
    <x:tableColumn id="9" name="Numéro"/>
    <x:tableColumn id="10" name="Rareté"/>
    <x:tableColumn id="11" name="Variantes indiquées"/>
    <x:tableColumn id="12" name="Statut catalogue"/>
    <x:tableColumn id="13" name="Image récupérée"/>
    <x:tableColumn id="14" name="Validation image"/>
    <x:tableColumn id="15" name="Validation ajout BDD"/>
    <x:tableColumn id="16" name="Source"/>
    <x:tableColumn id="17" name="Lien source"/>
    <x:tableColumn id="18" name="Lien image"/>
    <x:tableColumn id="19" name="Fichier local"/>
    <x:tableColumn id="20" name="Note de recherche"/>
    <x:tableColumn id="21" name="Occurrences de la clé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MissingImagesTable" displayName="MissingImagesTable" ref="A5:L16" headerRowCount="1" totalsRowCount="0" totalsRowShown="0">
  <x:autoFilter ref="A5:L16"/>
  <x:tableColumns count="12">
    <x:tableColumn id="1" name="Clé anti-doublon"/>
    <x:tableColumn id="2" name="Langue"/>
    <x:tableColumn id="3" name="Nom"/>
    <x:tableColumn id="4" name="Set / série"/>
    <x:tableColumn id="5" name="Année"/>
    <x:tableColumn id="6" name="Numéro"/>
    <x:tableColumn id="7" name="Variante"/>
    <x:tableColumn id="8" name="Lien où la carte a été vue"/>
    <x:tableColumn id="9" name="Lien image candidat"/>
    <x:tableColumn id="10" name="Image enregistrée"/>
    <x:tableColumn id="11" name="Bonne image confirmée"/>
    <x:tableColumn id="12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PocketTable" displayName="PocketTable" ref="A5:K27" headerRowCount="1" totalsRowCount="0" totalsRowShown="0">
  <x:autoFilter ref="A5:K27"/>
  <x:tableColumns count="11">
    <x:tableColumn id="1" name="Clé"/>
    <x:tableColumn id="2" name="Langue"/>
    <x:tableColumn id="3" name="Nom"/>
    <x:tableColumn id="4" name="Set"/>
    <x:tableColumn id="5" name="Année"/>
    <x:tableColumn id="6" name="Numéro"/>
    <x:tableColumn id="7" name="Statut"/>
    <x:tableColumn id="8" name="ID actuel éventuel"/>
    <x:tableColumn id="9" name="Source"/>
    <x:tableColumn id="10" name="Image"/>
    <x:tableColumn id="11" name="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CurrentCatalogueTable" displayName="CurrentCatalogueTable" ref="A5:P165" headerRowCount="1" totalsRowCount="0" totalsRowShown="0">
  <x:autoFilter ref="A5:P165"/>
  <x:tableColumns count="16">
    <x:tableColumn id="1" name="ID"/>
    <x:tableColumn id="2" name="Langue"/>
    <x:tableColumn id="3" name="Pays"/>
    <x:tableColumn id="4" name="Set"/>
    <x:tableColumn id="5" name="Année"/>
    <x:tableColumn id="6" name="Numéro"/>
    <x:tableColumn id="7" name="Rareté"/>
    <x:tableColumn id="8" name="Variante"/>
    <x:tableColumn id="9" name="Note"/>
    <x:tableColumn id="10" name="État image"/>
    <x:tableColumn id="11" name="Pipeline"/>
    <x:tableColumn id="12" name="Source"/>
    <x:tableColumn id="13" name="Lien source"/>
    <x:tableColumn id="14" name="Lien image"/>
    <x:tableColumn id="15" name="Possédée"/>
    <x:tableColumn id="16" name="Audi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AuditTable" displayName="AuditTable" ref="A5:I47" headerRowCount="1" totalsRowCount="0" totalsRowShown="0">
  <x:autoFilter ref="A5:I47"/>
  <x:tableColumns count="9">
    <x:tableColumn id="1" name="Catégorie"/>
    <x:tableColumn id="2" name="Priorité"/>
    <x:tableColumn id="3" name="ID concerné(s)"/>
    <x:tableColumn id="4" name="Langue"/>
    <x:tableColumn id="5" name="Set"/>
    <x:tableColumn id="6" name="Année"/>
    <x:tableColumn id="7" name="Numéro"/>
    <x:tableColumn id="8" name="Constat"/>
    <x:tableColumn id="9" name="Action proposé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SourcesTable" displayName="SourcesTable" ref="A5:E29" headerRowCount="1" totalsRowCount="0" totalsRowShown="0">
  <x:autoFilter ref="A5:E29"/>
  <x:tableColumns count="5">
    <x:tableColumn id="1" name="Source"/>
    <x:tableColumn id="2" name="Langue / région"/>
    <x:tableColumn id="3" name="URL"/>
    <x:tableColumn id="4" name="Utilisation"/>
    <x:tableColumn id="5" name="Limite / résult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bd3a90d8df4fc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88196f1d0cb4d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712f80014b548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223b8f8c8e94a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a0b74d2b10641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a3e430c8c7643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b2f47de69ad4c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22" hidden="0" customWidth="1"/>
    <x:col min="4" max="4" width="17" hidden="0" customWidth="1"/>
    <x:col min="5" max="5" width="4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3" t="str">
        <x:v>Recherche mondiale des cartes Carapuce</x:v>
      </x:c>
      <x:c r="B1" s="3"/>
      <x:c r="C1" s="3"/>
      <x:c r="D1" s="3"/>
      <x:c r="E1" s="3"/>
      <x:c r="F1" s="3"/>
      <x:c r="G1" s="3"/>
      <x:c r="H1" s="3"/>
    </x:row>
    <x:row r="2" ht="30" customHeight="1">
      <x:c r="A2" s="8" t="str">
        <x:v>État au 7 août 2026 · cartes physiques nommées Carapuce et caméos · TCG Pocket isolé</x:v>
      </x:c>
      <x:c r="B2" s="8"/>
      <x:c r="C2" s="8"/>
      <x:c r="D2" s="8"/>
      <x:c r="E2" s="8"/>
      <x:c r="F2" s="8"/>
      <x:c r="G2" s="8"/>
      <x:c r="H2" s="8"/>
    </x:row>
    <x:row r="4" ht="38" customHeight="1">
      <x:c r="A4" s="26" t="str">
        <x:v>Résultat : une base de travail dédupliquée et vérifiable, pas une promesse d’exhaustivité absolue — les bases asiatiques restent incomplètes et de nouvelles promotions paraissent régulièrement.</x:v>
      </x:c>
      <x:c r="B4" s="26"/>
      <x:c r="C4" s="26"/>
      <x:c r="D4" s="26"/>
      <x:c r="E4" s="26"/>
      <x:c r="F4" s="26"/>
      <x:c r="G4" s="26"/>
      <x:c r="H4" s="26"/>
    </x:row>
    <x:row r="6">
      <x:c r="A6" s="40" t="str">
        <x:v>Catalogue actuel</x:v>
      </x:c>
      <x:c r="B6" s="41"/>
      <x:c r="C6" s="62" t="str">
        <x:v>Candidats physiques manquants</x:v>
      </x:c>
      <x:c r="D6" s="63"/>
      <x:c r="E6" s="84" t="str">
        <x:v>Images récupérées</x:v>
      </x:c>
      <x:c r="F6" s="85"/>
      <x:c r="G6" s="106" t="str">
        <x:v>Images à trouver</x:v>
      </x:c>
      <x:c r="H6" s="107"/>
    </x:row>
    <x:row r="7">
      <x:c r="A7" s="46" t="n">
        <x:f>COUNTA('Catalogue actuel'!A6:A165)</x:f>
        <x:v>160</x:v>
      </x:c>
      <x:c r="B7" s="47"/>
      <x:c r="C7" s="68" t="n">
        <x:f>COUNTA('Candidats'!A6:A89)</x:f>
        <x:v>84</x:v>
      </x:c>
      <x:c r="D7" s="69"/>
      <x:c r="E7" s="90" t="n">
        <x:f>COUNTIF('Candidats'!M6:M89,"Oui")</x:f>
        <x:v>73</x:v>
      </x:c>
      <x:c r="F7" s="91"/>
      <x:c r="G7" s="112" t="n">
        <x:f>COUNTIF('Candidats'!M6:M89,"Non")</x:f>
        <x:v>11</x:v>
      </x:c>
      <x:c r="H7" s="113"/>
    </x:row>
    <x:row r="8">
      <x:c r="A8" s="48"/>
      <x:c r="B8" s="49"/>
      <x:c r="C8" s="70"/>
      <x:c r="D8" s="71"/>
      <x:c r="E8" s="92"/>
      <x:c r="F8" s="93"/>
      <x:c r="G8" s="114"/>
      <x:c r="H8" s="115"/>
    </x:row>
    <x:row r="10">
      <x:c r="A10" s="118" t="str">
        <x:v>Cartes nommées</x:v>
      </x:c>
      <x:c r="B10" s="118"/>
      <x:c r="C10" s="118" t="str">
        <x:v>Caméos</x:v>
      </x:c>
      <x:c r="D10" s="118"/>
      <x:c r="E10" s="118" t="str">
        <x:v>Pocket séparé</x:v>
      </x:c>
      <x:c r="F10" s="118"/>
      <x:c r="G10" s="118" t="str">
        <x:v>Images actuelles cassées</x:v>
      </x:c>
      <x:c r="H10" s="118"/>
    </x:row>
    <x:row r="11">
      <x:c r="A11" s="129" t="n">
        <x:f>COUNTIF('Candidats'!B6:B89,"Carte nommée Carapuce")</x:f>
        <x:v>73</x:v>
      </x:c>
      <x:c r="B11" s="130"/>
      <x:c r="C11" s="129" t="n">
        <x:f>COUNTIF('Candidats'!B6:B89,"Caméo Carapuce")</x:f>
        <x:v>11</x:v>
      </x:c>
      <x:c r="D11" s="130"/>
      <x:c r="E11" s="129" t="n">
        <x:f>COUNTA('Pocket séparé'!A6:A27)</x:f>
        <x:v>22</x:v>
      </x:c>
      <x:c r="F11" s="130"/>
      <x:c r="G11" s="129" t="n">
        <x:f>COUNTIF('Catalogue actuel'!J6:J165,"Cassée")</x:f>
        <x:v>34</x:v>
      </x:c>
      <x:c r="H11" s="130"/>
    </x:row>
    <x:row r="12">
      <x:c r="A12" s="131"/>
      <x:c r="B12" s="132"/>
      <x:c r="C12" s="131"/>
      <x:c r="D12" s="132"/>
      <x:c r="E12" s="131"/>
      <x:c r="F12" s="132"/>
      <x:c r="G12" s="131"/>
      <x:c r="H12" s="132"/>
    </x:row>
    <x:row r="14" ht="28" customHeight="1">
      <x:c r="A14" s="16" t="str">
        <x:v>Langue</x:v>
      </x:c>
      <x:c r="B14" s="16" t="str">
        <x:v>Déjà au catalogue</x:v>
      </x:c>
      <x:c r="C14" s="16" t="str">
        <x:v>Candidats manquants</x:v>
      </x:c>
      <x:c r="D14" s="16" t="str">
        <x:v>Images à trouver</x:v>
      </x:c>
      <x:c r="F14" s="136" t="str">
        <x:v>Règle anti-doublon recommandée</x:v>
      </x:c>
      <x:c r="G14" s="136"/>
      <x:c r="H14" s="136"/>
    </x:row>
    <x:row r="15">
      <x:c r="A15" t="str">
        <x:v>EN</x:v>
      </x:c>
      <x:c r="B15" s="133" t="n">
        <x:f>COUNTIF('Catalogue actuel'!B6:B165,A15)</x:f>
        <x:v>88</x:v>
      </x:c>
      <x:c r="C15" s="133" t="n">
        <x:f>COUNTIF('Candidats'!D6:D89,A15)</x:f>
        <x:v>5</x:v>
      </x:c>
      <x:c r="D15" s="133" t="n">
        <x:f>COUNTIFS('Candidats'!D6:D89,A15,'Candidats'!M6:M89,"Non")</x:f>
        <x:v>1</x:v>
      </x:c>
      <x:c r="F15" s="155" t="str">
        <x:v>Clé de dessin : type + langue + identifiant TCGdex (ou set + numéro pour les exclusivités).
Clé d’impression : clé de dessin + finition + stamp + édition + distribution.
Ne jamais utiliser le nom seul. Les variantes Staff/Champion/Finalist doivent quitter le champ note et devenir une sous-variante structurée.</x:v>
      </x:c>
      <x:c r="G15" s="156"/>
      <x:c r="H15" s="157"/>
    </x:row>
    <x:row r="16">
      <x:c r="A16" t="str">
        <x:v>FR</x:v>
      </x:c>
      <x:c r="B16" s="133" t="n">
        <x:f>COUNTIF('Catalogue actuel'!B6:B165,A16)</x:f>
        <x:v>0</x:v>
      </x:c>
      <x:c r="C16" s="133" t="n">
        <x:f>COUNTIF('Candidats'!D6:D89,A16)</x:f>
        <x:v>27</x:v>
      </x:c>
      <x:c r="D16" s="133" t="n">
        <x:f>COUNTIFS('Candidats'!D6:D89,A16,'Candidats'!M6:M89,"Non")</x:f>
        <x:v>1</x:v>
      </x:c>
      <x:c r="F16" s="158"/>
      <x:c r="G16" s="159"/>
      <x:c r="H16" s="160"/>
    </x:row>
    <x:row r="17">
      <x:c r="A17" t="str">
        <x:v>DE</x:v>
      </x:c>
      <x:c r="B17" s="133" t="n">
        <x:f>COUNTIF('Catalogue actuel'!B6:B165,A17)</x:f>
        <x:v>34</x:v>
      </x:c>
      <x:c r="C17" s="133" t="n">
        <x:f>COUNTIF('Candidats'!D6:D89,A17)</x:f>
        <x:v>0</x:v>
      </x:c>
      <x:c r="D17" s="133" t="n">
        <x:f>COUNTIFS('Candidats'!D6:D89,A17,'Candidats'!M6:M89,"Non")</x:f>
        <x:v>0</x:v>
      </x:c>
      <x:c r="F17" s="158"/>
      <x:c r="G17" s="159"/>
      <x:c r="H17" s="160"/>
    </x:row>
    <x:row r="18">
      <x:c r="A18" t="str">
        <x:v>ES</x:v>
      </x:c>
      <x:c r="B18" s="133" t="n">
        <x:f>COUNTIF('Catalogue actuel'!B6:B165,A18)</x:f>
        <x:v>0</x:v>
      </x:c>
      <x:c r="C18" s="133" t="n">
        <x:f>COUNTIF('Candidats'!D6:D89,A18)</x:f>
        <x:v>12</x:v>
      </x:c>
      <x:c r="D18" s="133" t="n">
        <x:f>COUNTIFS('Candidats'!D6:D89,A18,'Candidats'!M6:M89,"Non")</x:f>
        <x:v>2</x:v>
      </x:c>
      <x:c r="F18" s="158"/>
      <x:c r="G18" s="159"/>
      <x:c r="H18" s="160"/>
    </x:row>
    <x:row r="19">
      <x:c r="A19" t="str">
        <x:v>IT</x:v>
      </x:c>
      <x:c r="B19" s="133" t="n">
        <x:f>COUNTIF('Catalogue actuel'!B6:B165,A19)</x:f>
        <x:v>0</x:v>
      </x:c>
      <x:c r="C19" s="133" t="n">
        <x:f>COUNTIF('Candidats'!D6:D89,A19)</x:f>
        <x:v>13</x:v>
      </x:c>
      <x:c r="D19" s="133" t="n">
        <x:f>COUNTIFS('Candidats'!D6:D89,A19,'Candidats'!M6:M89,"Non")</x:f>
        <x:v>2</x:v>
      </x:c>
      <x:c r="F19" s="158"/>
      <x:c r="G19" s="159"/>
      <x:c r="H19" s="160"/>
    </x:row>
    <x:row r="20">
      <x:c r="A20" t="str">
        <x:v>PT</x:v>
      </x:c>
      <x:c r="B20" s="133" t="n">
        <x:f>COUNTIF('Catalogue actuel'!B6:B165,A20)</x:f>
        <x:v>0</x:v>
      </x:c>
      <x:c r="C20" s="133" t="n">
        <x:f>COUNTIF('Candidats'!D6:D89,A20)</x:f>
        <x:v>13</x:v>
      </x:c>
      <x:c r="D20" s="133" t="n">
        <x:f>COUNTIFS('Candidats'!D6:D89,A20,'Candidats'!M6:M89,"Non")</x:f>
        <x:v>2</x:v>
      </x:c>
      <x:c r="F20" s="158"/>
      <x:c r="G20" s="159"/>
      <x:c r="H20" s="160"/>
    </x:row>
    <x:row r="21">
      <x:c r="A21" t="str">
        <x:v>JP</x:v>
      </x:c>
      <x:c r="B21" s="133" t="n">
        <x:f>COUNTIF('Catalogue actuel'!B6:B165,A21)</x:f>
        <x:v>37</x:v>
      </x:c>
      <x:c r="C21" s="133" t="n">
        <x:f>COUNTIF('Candidats'!D6:D89,A21)</x:f>
        <x:v>6</x:v>
      </x:c>
      <x:c r="D21" s="133" t="n">
        <x:f>COUNTIFS('Candidats'!D6:D89,A21,'Candidats'!M6:M89,"Non")</x:f>
        <x:v>0</x:v>
      </x:c>
      <x:c r="F21" s="158"/>
      <x:c r="G21" s="159"/>
      <x:c r="H21" s="160"/>
    </x:row>
    <x:row r="22">
      <x:c r="A22" t="str">
        <x:v>KR</x:v>
      </x:c>
      <x:c r="B22" s="133" t="n">
        <x:f>COUNTIF('Catalogue actuel'!B6:B165,A22)</x:f>
        <x:v>0</x:v>
      </x:c>
      <x:c r="C22" s="133" t="n">
        <x:f>COUNTIF('Candidats'!D6:D89,A22)</x:f>
        <x:v>0</x:v>
      </x:c>
      <x:c r="D22" s="133" t="n">
        <x:f>COUNTIFS('Candidats'!D6:D89,A22,'Candidats'!M6:M89,"Non")</x:f>
        <x:v>0</x:v>
      </x:c>
      <x:c r="F22" s="161"/>
      <x:c r="G22" s="162"/>
      <x:c r="H22" s="163"/>
    </x:row>
    <x:row r="23">
      <x:c r="A23" t="str">
        <x:v>ZH-CN</x:v>
      </x:c>
      <x:c r="B23" s="133" t="n">
        <x:f>COUNTIF('Catalogue actuel'!B6:B165,A23)</x:f>
        <x:v>0</x:v>
      </x:c>
      <x:c r="C23" s="133" t="n">
        <x:f>COUNTIF('Candidats'!D6:D89,A23)</x:f>
        <x:v>1</x:v>
      </x:c>
      <x:c r="D23" s="133" t="n">
        <x:f>COUNTIFS('Candidats'!D6:D89,A23,'Candidats'!M6:M89,"Non")</x:f>
        <x:v>0</x:v>
      </x:c>
    </x:row>
    <x:row r="24">
      <x:c r="A24" t="str">
        <x:v>ZH-TW</x:v>
      </x:c>
      <x:c r="B24" s="133" t="n">
        <x:f>COUNTIF('Catalogue actuel'!B6:B165,A24)</x:f>
        <x:v>0</x:v>
      </x:c>
      <x:c r="C24" s="133" t="n">
        <x:f>COUNTIF('Candidats'!D6:D89,A24)</x:f>
        <x:v>3</x:v>
      </x:c>
      <x:c r="D24" s="133" t="n">
        <x:f>COUNTIFS('Candidats'!D6:D89,A24,'Candidats'!M6:M89,"Non")</x:f>
        <x:v>1</x:v>
      </x:c>
      <x:c r="F24" s="166" t="str">
        <x:v>Périmètre et limites</x:v>
      </x:c>
      <x:c r="G24" s="166"/>
      <x:c r="H24" s="166"/>
    </x:row>
    <x:row r="25">
      <x:c r="A25" t="str">
        <x:v>ID</x:v>
      </x:c>
      <x:c r="B25" s="133" t="n">
        <x:f>COUNTIF('Catalogue actuel'!B6:B165,A25)</x:f>
        <x:v>0</x:v>
      </x:c>
      <x:c r="C25" s="133" t="n">
        <x:f>COUNTIF('Candidats'!D6:D89,A25)</x:f>
        <x:v>2</x:v>
      </x:c>
      <x:c r="D25" s="133" t="n">
        <x:f>COUNTIFS('Candidats'!D6:D89,A25,'Candidats'!M6:M89,"Non")</x:f>
        <x:v>1</x:v>
      </x:c>
      <x:c r="F25" s="185" t="str">
        <x:v>Inclus : cartes Pokémon TCG physiques, cartes nommées Carapuce, caméos documentés et jumbos.
Séparé : Pokémon TCG Pocket.
Non traité dans ce lot : Topps, Carddass, stickers, cartes de jeux non-TCG et reproductions.
Couverture KR et ZH-CN : recherche manuelle à poursuivre, car TCGdex renvoie zéro résultat par nom localisé.</x:v>
      </x:c>
      <x:c r="G25" s="186"/>
      <x:c r="H25" s="187"/>
    </x:row>
    <x:row r="26">
      <x:c r="A26" t="str">
        <x:v>TH</x:v>
      </x:c>
      <x:c r="B26" s="133" t="n">
        <x:f>COUNTIF('Catalogue actuel'!B6:B165,A26)</x:f>
        <x:v>0</x:v>
      </x:c>
      <x:c r="C26" s="133" t="n">
        <x:f>COUNTIF('Candidats'!D6:D89,A26)</x:f>
        <x:v>2</x:v>
      </x:c>
      <x:c r="D26" s="133" t="n">
        <x:f>COUNTIFS('Candidats'!D6:D89,A26,'Candidats'!M6:M89,"Non")</x:f>
        <x:v>1</x:v>
      </x:c>
      <x:c r="F26" s="188"/>
      <x:c r="G26" s="189"/>
      <x:c r="H26" s="190"/>
    </x:row>
    <x:row r="27">
      <x:c r="F27" s="188"/>
      <x:c r="G27" s="189"/>
      <x:c r="H27" s="190"/>
    </x:row>
    <x:row r="28">
      <x:c r="F28" s="188"/>
      <x:c r="G28" s="189"/>
      <x:c r="H28" s="190"/>
    </x:row>
    <x:row r="29">
      <x:c r="F29" s="191"/>
      <x:c r="G29" s="192"/>
      <x:c r="H29" s="193"/>
    </x:row>
  </x:sheetData>
  <x:mergeCells>
    <x:mergeCell ref="A1:H1"/>
    <x:mergeCell ref="A2:H2"/>
    <x:mergeCell ref="A4:H4"/>
    <x:mergeCell ref="A6:B6"/>
    <x:mergeCell ref="A7:B8"/>
    <x:mergeCell ref="C6:D6"/>
    <x:mergeCell ref="C7:D8"/>
    <x:mergeCell ref="E6:F6"/>
    <x:mergeCell ref="E7:F8"/>
    <x:mergeCell ref="G6:H6"/>
    <x:mergeCell ref="G7:H8"/>
    <x:mergeCell ref="A10:B10"/>
    <x:mergeCell ref="C10:D10"/>
    <x:mergeCell ref="E10:F10"/>
    <x:mergeCell ref="G10:H10"/>
    <x:mergeCell ref="A11:B12"/>
    <x:mergeCell ref="C11:D12"/>
    <x:mergeCell ref="E11:F12"/>
    <x:mergeCell ref="G11:H12"/>
    <x:mergeCell ref="F14:H14"/>
    <x:mergeCell ref="F15:H22"/>
    <x:mergeCell ref="F24:H24"/>
    <x:mergeCell ref="F25:H29"/>
  </x:mergeCells>
  <x:pageMargins left="0.7" right="0.7" top="0.75" bottom="0.75" header="0.3" footer="0.3"/>
  <x:tableParts count="1">
    <x:tablePart xmlns:r="http://schemas.openxmlformats.org/officeDocument/2006/relationships" r:id="Rafbd3a90d8df4fc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6" hidden="0" customWidth="1"/>
    <x:col min="4" max="4" width="9" hidden="0" customWidth="1"/>
    <x:col min="5" max="5" width="10" hidden="0" customWidth="1"/>
    <x:col min="6" max="6" width="26" hidden="0" customWidth="1"/>
    <x:col min="7" max="7" width="30" hidden="0" customWidth="1"/>
    <x:col min="8" max="8" width="9" hidden="0" customWidth="1"/>
    <x:col min="9" max="9" width="14" hidden="0" customWidth="1"/>
    <x:col min="10" max="10" width="15" hidden="0" customWidth="1"/>
    <x:col min="11" max="11" width="24" hidden="0" customWidth="1"/>
    <x:col min="12" max="12" width="18" hidden="0" customWidth="1"/>
    <x:col min="13" max="13" width="14" hidden="0" customWidth="1"/>
    <x:col min="14" max="14" width="15" hidden="0" customWidth="1"/>
    <x:col min="15" max="15" width="17" hidden="0" customWidth="1"/>
    <x:col min="16" max="16" width="16" hidden="0" customWidth="1"/>
    <x:col min="17" max="17" width="42" hidden="0" customWidth="1"/>
    <x:col min="18" max="18" width="42" hidden="0" customWidth="1"/>
    <x:col min="19" max="19" width="42" hidden="0" customWidth="1"/>
    <x:col min="20" max="20" width="50" hidden="0" customWidth="1"/>
    <x:col min="21" max="21" width="12" hidden="0" customWidth="1"/>
  </x:cols>
  <x:sheetData>
    <x:row r="1" ht="32" customHeight="1">
      <x:c r="A1" s="3" t="str">
        <x:v>Candidats manquants — Maison de Carapuce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0" customHeight="1">
      <x:c r="A2" s="8" t="str">
        <x:v>Une ligne par dessin/langue. Ne pas importer automatiquement avant validation des impressions, stamps et variantes.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</x:row>
    <x:row r="4">
      <x:c r="A4" s="11" t="str">
        <x:v>☐ = à contrôler · ☑ = validé manuellement · les liens et chemins d’image restent auditables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</x:row>
    <x:row r="5" ht="28" customHeight="1">
      <x:c r="A5" s="16" t="str">
        <x:v>Clé anti-doublon</x:v>
      </x:c>
      <x:c r="B5" s="16" t="str">
        <x:v>Type</x:v>
      </x:c>
      <x:c r="C5" s="16" t="str">
        <x:v>Format</x:v>
      </x:c>
      <x:c r="D5" s="16" t="str">
        <x:v>Langue</x:v>
      </x:c>
      <x:c r="E5" s="16" t="str">
        <x:v>Pays</x:v>
      </x:c>
      <x:c r="F5" s="16" t="str">
        <x:v>Nom de la carte</x:v>
      </x:c>
      <x:c r="G5" s="16" t="str">
        <x:v>Set / série</x:v>
      </x:c>
      <x:c r="H5" s="16" t="str">
        <x:v>Année</x:v>
      </x:c>
      <x:c r="I5" s="16" t="str">
        <x:v>Numéro</x:v>
      </x:c>
      <x:c r="J5" s="16" t="str">
        <x:v>Rareté</x:v>
      </x:c>
      <x:c r="K5" s="16" t="str">
        <x:v>Variantes indiquées</x:v>
      </x:c>
      <x:c r="L5" s="16" t="str">
        <x:v>Statut catalogue</x:v>
      </x:c>
      <x:c r="M5" s="16" t="str">
        <x:v>Image récupérée</x:v>
      </x:c>
      <x:c r="N5" s="16" t="str">
        <x:v>Validation image</x:v>
      </x:c>
      <x:c r="O5" s="16" t="str">
        <x:v>Validation ajout BDD</x:v>
      </x:c>
      <x:c r="P5" s="16" t="str">
        <x:v>Source</x:v>
      </x:c>
      <x:c r="Q5" s="16" t="str">
        <x:v>Lien source</x:v>
      </x:c>
      <x:c r="R5" s="16" t="str">
        <x:v>Lien image</x:v>
      </x:c>
      <x:c r="S5" s="16" t="str">
        <x:v>Fichier local</x:v>
      </x:c>
      <x:c r="T5" s="16" t="str">
        <x:v>Note de recherche</x:v>
      </x:c>
      <x:c r="U5" s="16" t="str">
        <x:v>Occurrences de la clé</x:v>
      </x:c>
    </x:row>
    <x:row r="6">
      <x:c r="A6" s="17" t="str">
        <x:v>cameo|EN|wizards black star promos|18|normal</x:v>
      </x:c>
      <x:c r="B6" s="17" t="str">
        <x:v>Caméo Carapuce</x:v>
      </x:c>
      <x:c r="C6" s="17" t="str">
        <x:v>Pokémon TCG physique</x:v>
      </x:c>
      <x:c r="D6" s="17" t="str">
        <x:v>EN</x:v>
      </x:c>
      <x:c r="E6" s="17" t="str">
        <x:v>US</x:v>
      </x:c>
      <x:c r="F6" s="18" t="str">
        <x:v>Team Rocket's Meowth</x:v>
      </x:c>
      <x:c r="G6" s="18" t="str">
        <x:v>Wizards Black Star Promos</x:v>
      </x:c>
      <x:c r="H6" s="19" t="n">
        <x:v>2000</x:v>
      </x:c>
      <x:c r="I6" s="17" t="str">
        <x:v>18</x:v>
      </x:c>
      <x:c r="J6" s="17" t="str"/>
      <x:c r="K6" s="17" t="str">
        <x:v>Normal</x:v>
      </x:c>
      <x:c r="L6" s="17" t="str">
        <x:v>Manquante</x:v>
      </x:c>
      <x:c r="M6" s="17" t="str">
        <x:v>Oui</x:v>
      </x:c>
      <x:c r="N6" s="17" t="str">
        <x:v>☐</x:v>
      </x:c>
      <x:c r="O6" s="17" t="str">
        <x:v>☐</x:v>
      </x:c>
      <x:c r="P6" s="17" t="str">
        <x:v>TCGdex</x:v>
      </x:c>
      <x:c r="Q6" s="17" t="str">
        <x:v>https://api.tcgdex.net/v2/en/cards/basep-18</x:v>
      </x:c>
      <x:c r="R6" s="17" t="str">
        <x:v>https://assets.tcgdex.net/en/base/basep/18/high.webp</x:v>
      </x:c>
      <x:c r="S6" s="17" t="str">
        <x:v>C:\Users\hugob\Documents\Projet codage perso\maison-de-carapuce\outputs\019fdbac-bcf2-77a2-b3c8-0e870f4e19fc\images-manquantes-finales\074_EN_Wizards-Black-Star-Promos_18_Team-Rocket-s-Meowth.webp</x:v>
      </x:c>
      <x:c r="T6" s="18" t="str">
        <x:v>Carapuce apparaît dans l'illustration</x:v>
      </x:c>
      <x:c r="U6" s="17" t="n">
        <x:v>1</x:v>
      </x:c>
    </x:row>
    <x:row r="7">
      <x:c r="A7" s="17" t="str">
        <x:v>cameo|EN|undaunted|74|normal</x:v>
      </x:c>
      <x:c r="B7" s="17" t="str">
        <x:v>Caméo Carapuce</x:v>
      </x:c>
      <x:c r="C7" s="17" t="str">
        <x:v>Pokémon TCG physique</x:v>
      </x:c>
      <x:c r="D7" s="17" t="str">
        <x:v>EN</x:v>
      </x:c>
      <x:c r="E7" s="17" t="str">
        <x:v>US</x:v>
      </x:c>
      <x:c r="F7" s="18" t="str">
        <x:v>Flower Shop Lady</x:v>
      </x:c>
      <x:c r="G7" s="18" t="str">
        <x:v>Undaunted</x:v>
      </x:c>
      <x:c r="H7" s="19" t="n">
        <x:v>2010</x:v>
      </x:c>
      <x:c r="I7" s="17" t="str">
        <x:v>74/90</x:v>
      </x:c>
      <x:c r="J7" s="17" t="str"/>
      <x:c r="K7" s="17" t="str">
        <x:v>Normal</x:v>
      </x:c>
      <x:c r="L7" s="17" t="str">
        <x:v>Manquante</x:v>
      </x:c>
      <x:c r="M7" s="17" t="str">
        <x:v>Oui</x:v>
      </x:c>
      <x:c r="N7" s="17" t="str">
        <x:v>☐</x:v>
      </x:c>
      <x:c r="O7" s="17" t="str">
        <x:v>☐</x:v>
      </x:c>
      <x:c r="P7" s="17" t="str">
        <x:v>TCGdex</x:v>
      </x:c>
      <x:c r="Q7" s="17" t="str">
        <x:v>https://api.tcgdex.net/v2/en/cards/hgss3-74</x:v>
      </x:c>
      <x:c r="R7" s="17" t="str">
        <x:v>https://assets.tcgdex.net/en/hgss/hgss3/74/high.webp</x:v>
      </x:c>
      <x:c r="S7" s="17" t="str">
        <x:v>C:\Users\hugob\Documents\Projet codage perso\maison-de-carapuce\outputs\019fdbac-bcf2-77a2-b3c8-0e870f4e19fc\images-manquantes-finales\075_EN_Undaunted_74-90_Flower-Shop-Lady.webp</x:v>
      </x:c>
      <x:c r="T7" s="18" t="str">
        <x:v>Caméo Carapuce; arrosoir Squirtbottle</x:v>
      </x:c>
      <x:c r="U7" s="17" t="n">
        <x:v>1</x:v>
      </x:c>
    </x:row>
    <x:row r="8">
      <x:c r="A8" s="17" t="str">
        <x:v>cameo|EN|hidden fates|46|normal reverse a confirmer</x:v>
      </x:c>
      <x:c r="B8" s="17" t="str">
        <x:v>Caméo Carapuce</x:v>
      </x:c>
      <x:c r="C8" s="17" t="str">
        <x:v>Pokémon TCG physique</x:v>
      </x:c>
      <x:c r="D8" s="17" t="str">
        <x:v>EN</x:v>
      </x:c>
      <x:c r="E8" s="17" t="str">
        <x:v>US</x:v>
      </x:c>
      <x:c r="F8" s="18" t="str">
        <x:v>Chansey</x:v>
      </x:c>
      <x:c r="G8" s="18" t="str">
        <x:v>Hidden Fates</x:v>
      </x:c>
      <x:c r="H8" s="19" t="n">
        <x:v>2019</x:v>
      </x:c>
      <x:c r="I8" s="17" t="str">
        <x:v>46/68</x:v>
      </x:c>
      <x:c r="J8" s="17" t="str"/>
      <x:c r="K8" s="17" t="str">
        <x:v>Normal / Reverse à confirmer</x:v>
      </x:c>
      <x:c r="L8" s="17" t="str">
        <x:v>Manquante</x:v>
      </x:c>
      <x:c r="M8" s="17" t="str">
        <x:v>Oui</x:v>
      </x:c>
      <x:c r="N8" s="17" t="str">
        <x:v>☐</x:v>
      </x:c>
      <x:c r="O8" s="17" t="str">
        <x:v>☐</x:v>
      </x:c>
      <x:c r="P8" s="17" t="str">
        <x:v>TCGdex</x:v>
      </x:c>
      <x:c r="Q8" s="17" t="str">
        <x:v>https://api.tcgdex.net/v2/en/cards/sm115-46</x:v>
      </x:c>
      <x:c r="R8" s="17" t="str">
        <x:v>https://assets.tcgdex.net/en/sm/sm115/46/high.webp</x:v>
      </x:c>
      <x:c r="S8" s="17" t="str">
        <x:v>C:\Users\hugob\Documents\Projet codage perso\maison-de-carapuce\outputs\019fdbac-bcf2-77a2-b3c8-0e870f4e19fc\images-manquantes-finales\076_EN_Hidden-Fates_46-68_Chansey.webp</x:v>
      </x:c>
      <x:c r="T8" s="18" t="str">
        <x:v>Caméo Carapuce sous forme d'arrosoir</x:v>
      </x:c>
      <x:c r="U8" s="17" t="n">
        <x:v>1</x:v>
      </x:c>
    </x:row>
    <x:row r="9">
      <x:c r="A9" s="17" t="str">
        <x:v>cameo|EN|hidden fates|61|normal reverse a confirmer</x:v>
      </x:c>
      <x:c r="B9" s="17" t="str">
        <x:v>Caméo Carapuce</x:v>
      </x:c>
      <x:c r="C9" s="17" t="str">
        <x:v>Pokémon TCG physique</x:v>
      </x:c>
      <x:c r="D9" s="17" t="str">
        <x:v>EN</x:v>
      </x:c>
      <x:c r="E9" s="17" t="str">
        <x:v>US</x:v>
      </x:c>
      <x:c r="F9" s="18" t="str">
        <x:v>Misty’s Cerulean City Gym</x:v>
      </x:c>
      <x:c r="G9" s="18" t="str">
        <x:v>Hidden Fates</x:v>
      </x:c>
      <x:c r="H9" s="19" t="n">
        <x:v>2019</x:v>
      </x:c>
      <x:c r="I9" s="17" t="str">
        <x:v>61/68</x:v>
      </x:c>
      <x:c r="J9" s="17" t="str"/>
      <x:c r="K9" s="17" t="str">
        <x:v>Normal / Reverse à confirmer</x:v>
      </x:c>
      <x:c r="L9" s="17" t="str">
        <x:v>Manquante</x:v>
      </x:c>
      <x:c r="M9" s="17" t="str">
        <x:v>Oui</x:v>
      </x:c>
      <x:c r="N9" s="17" t="str">
        <x:v>☐</x:v>
      </x:c>
      <x:c r="O9" s="17" t="str">
        <x:v>☐</x:v>
      </x:c>
      <x:c r="P9" s="17" t="str">
        <x:v>TCGdex</x:v>
      </x:c>
      <x:c r="Q9" s="17" t="str">
        <x:v>https://api.tcgdex.net/v2/en/cards/sm115-61</x:v>
      </x:c>
      <x:c r="R9" s="17" t="str">
        <x:v>https://assets.tcgdex.net/en/sm/sm115/61/high.webp</x:v>
      </x:c>
      <x:c r="S9" s="17" t="str">
        <x:v>C:\Users\hugob\Documents\Projet codage perso\maison-de-carapuce\outputs\019fdbac-bcf2-77a2-b3c8-0e870f4e19fc\images-manquantes-finales\077_EN_Hidden-Fates_61-68_Misty-s-Cerulean-City-Gym.webp</x:v>
      </x:c>
      <x:c r="T9" s="18" t="str">
        <x:v>Carapuce apparaît sur une enseigne dans l'illustration</x:v>
      </x:c>
      <x:c r="U9" s="17" t="n">
        <x:v>1</x:v>
      </x:c>
    </x:row>
    <x:row r="10">
      <x:c r="A10" s="17" t="str">
        <x:v>cameo|JP|corocoro comic promo|unnumbered|jumbo non holo</x:v>
      </x:c>
      <x:c r="B10" s="17" t="str">
        <x:v>Caméo Carapuce</x:v>
      </x:c>
      <x:c r="C10" s="17" t="str">
        <x:v>Pokémon TCG physique — Jumbo</x:v>
      </x:c>
      <x:c r="D10" s="17" t="str">
        <x:v>JP</x:v>
      </x:c>
      <x:c r="E10" s="17" t="str">
        <x:v>JP</x:v>
      </x:c>
      <x:c r="F10" s="18" t="str">
        <x:v>Pikachu’s Summer Vacation</x:v>
      </x:c>
      <x:c r="G10" s="18" t="str">
        <x:v>CoroCoro Comic promo</x:v>
      </x:c>
      <x:c r="H10" s="19" t="n">
        <x:v>1998</x:v>
      </x:c>
      <x:c r="I10" s="17" t="str">
        <x:v>Unnumbered</x:v>
      </x:c>
      <x:c r="J10" s="17" t="str"/>
      <x:c r="K10" s="17" t="str">
        <x:v>Jumbo non-holo</x:v>
      </x:c>
      <x:c r="L10" s="17" t="str">
        <x:v>Manquante</x:v>
      </x:c>
      <x:c r="M10" s="17" t="str">
        <x:v>Oui</x:v>
      </x:c>
      <x:c r="N10" s="17" t="str">
        <x:v>☐</x:v>
      </x:c>
      <x:c r="O10" s="17" t="str">
        <x:v>☐</x:v>
      </x:c>
      <x:c r="P10" s="17" t="str">
        <x:v>Pokumon</x:v>
      </x:c>
      <x:c r="Q10" s="17" t="str">
        <x:v>https://pokumon.com/card/pikachus-summer-vacation-corocoro-1998-unnumbered/</x:v>
      </x:c>
      <x:c r="R10" s="17" t="str">
        <x:v>https://cdn6966.templcdn.com/wp-content/uploads/2021/03/JP_U047Unnumbered.jpg</x:v>
      </x:c>
      <x:c r="S10" s="17" t="str">
        <x:v>C:\Users\hugob\Documents\Projet codage perso\maison-de-carapuce\outputs\019fdbac-bcf2-77a2-b3c8-0e870f4e19fc\images-manquantes-finales\082_JP_CoroCoro-Comic-promo_Unnumbered_Pikachu-s-Summer-Vacation.jpg</x:v>
      </x:c>
      <x:c r="T10" s="18" t="str">
        <x:v>Caméo Carapuce; format jumbo</x:v>
      </x:c>
      <x:c r="U10" s="17" t="n">
        <x:v>1</x:v>
      </x:c>
    </x:row>
    <x:row r="11">
      <x:c r="A11" s="17" t="str">
        <x:v>cameo|JP|bessatsu corocoro comic promo|unnumbered|jumbo non holo</x:v>
      </x:c>
      <x:c r="B11" s="17" t="str">
        <x:v>Caméo Carapuce</x:v>
      </x:c>
      <x:c r="C11" s="17" t="str">
        <x:v>Pokémon TCG physique — Jumbo</x:v>
      </x:c>
      <x:c r="D11" s="17" t="str">
        <x:v>JP</x:v>
      </x:c>
      <x:c r="E11" s="17" t="str">
        <x:v>JP</x:v>
      </x:c>
      <x:c r="F11" s="18" t="str">
        <x:v>Pokémon Valley</x:v>
      </x:c>
      <x:c r="G11" s="18" t="str">
        <x:v>Bessatsu CoroCoro Comic promo</x:v>
      </x:c>
      <x:c r="H11" s="19" t="n">
        <x:v>1999</x:v>
      </x:c>
      <x:c r="I11" s="17" t="str">
        <x:v>Unnumbered</x:v>
      </x:c>
      <x:c r="J11" s="17" t="str"/>
      <x:c r="K11" s="17" t="str">
        <x:v>Jumbo non-holo</x:v>
      </x:c>
      <x:c r="L11" s="17" t="str">
        <x:v>Manquante</x:v>
      </x:c>
      <x:c r="M11" s="17" t="str">
        <x:v>Oui</x:v>
      </x:c>
      <x:c r="N11" s="17" t="str">
        <x:v>☐</x:v>
      </x:c>
      <x:c r="O11" s="17" t="str">
        <x:v>☐</x:v>
      </x:c>
      <x:c r="P11" s="17" t="str">
        <x:v>Pokumon</x:v>
      </x:c>
      <x:c r="Q11" s="17" t="str">
        <x:v>https://pokumon.com/card/pokemon-valley-corocoro-1999-unnumbered/</x:v>
      </x:c>
      <x:c r="R11" s="17" t="str">
        <x:v>https://cdn6966.templcdn.com/wp-content/uploads/2021/03/JP_U105Unnumbered.jpg</x:v>
      </x:c>
      <x:c r="S11" s="17" t="str">
        <x:v>C:\Users\hugob\Documents\Projet codage perso\maison-de-carapuce\outputs\019fdbac-bcf2-77a2-b3c8-0e870f4e19fc\images-manquantes-finales\083_JP_Bessatsu-CoroCoro-Comic-promo_Unnumbered_Pokemon-Valley.jpg</x:v>
      </x:c>
      <x:c r="T11" s="18" t="str">
        <x:v>Caméo Carapuce; format jumbo</x:v>
      </x:c>
      <x:c r="U11" s="17" t="n">
        <x:v>1</x:v>
      </x:c>
    </x:row>
    <x:row r="12">
      <x:c r="A12" s="17" t="str">
        <x:v>cameo|JP|pokemon card fan club promo|unnumbered2001|jumbo non holo</x:v>
      </x:c>
      <x:c r="B12" s="17" t="str">
        <x:v>Caméo Carapuce</x:v>
      </x:c>
      <x:c r="C12" s="17" t="str">
        <x:v>Pokémon TCG physique — Jumbo</x:v>
      </x:c>
      <x:c r="D12" s="17" t="str">
        <x:v>JP</x:v>
      </x:c>
      <x:c r="E12" s="17" t="str">
        <x:v>JP</x:v>
      </x:c>
      <x:c r="F12" s="18" t="str">
        <x:v>Tropical Present</x:v>
      </x:c>
      <x:c r="G12" s="18" t="str">
        <x:v>Pokémon Card Fan Club promo</x:v>
      </x:c>
      <x:c r="H12" s="19" t="n">
        <x:v>2001</x:v>
      </x:c>
      <x:c r="I12" s="17" t="str">
        <x:v>Unnumbered ©2001</x:v>
      </x:c>
      <x:c r="J12" s="17" t="str"/>
      <x:c r="K12" s="17" t="str">
        <x:v>Jumbo non-holo</x:v>
      </x:c>
      <x:c r="L12" s="17" t="str">
        <x:v>Manquante</x:v>
      </x:c>
      <x:c r="M12" s="17" t="str">
        <x:v>Oui</x:v>
      </x:c>
      <x:c r="N12" s="17" t="str">
        <x:v>☐</x:v>
      </x:c>
      <x:c r="O12" s="17" t="str">
        <x:v>☐</x:v>
      </x:c>
      <x:c r="P12" s="17" t="str">
        <x:v>Pokumon</x:v>
      </x:c>
      <x:c r="Q12" s="17" t="str">
        <x:v>https://pokumon.com/card/tropical-present-pokemon-card-fan-club-2001-unnumbered/</x:v>
      </x:c>
      <x:c r="R12" s="17" t="str">
        <x:v>https://cdn6966.templcdn.com/wp-content/uploads/2021/03/JP_U187Unnumbered.jpg</x:v>
      </x:c>
      <x:c r="S12" s="17" t="str">
        <x:v>C:\Users\hugob\Documents\Projet codage perso\maison-de-carapuce\outputs\019fdbac-bcf2-77a2-b3c8-0e870f4e19fc\images-manquantes-finales\084_JP_Pokemon-Card-Fan-Club-promo_Unnumbered-2001_Tropical-Present.jpg</x:v>
      </x:c>
      <x:c r="T12" s="18" t="str">
        <x:v>Caméo Carapuce; format jumbo</x:v>
      </x:c>
      <x:c r="U12" s="17" t="n">
        <x:v>1</x:v>
      </x:c>
    </x:row>
    <x:row r="13">
      <x:c r="A13" s="17" t="str">
        <x:v>cameo|JP|xy p promotional cards|279|promo</x:v>
      </x:c>
      <x:c r="B13" s="17" t="str">
        <x:v>Caméo Carapuce</x:v>
      </x:c>
      <x:c r="C13" s="17" t="str">
        <x:v>Pokémon TCG physique</x:v>
      </x:c>
      <x:c r="D13" s="17" t="str">
        <x:v>JP</x:v>
      </x:c>
      <x:c r="E13" s="17" t="str">
        <x:v>JP</x:v>
      </x:c>
      <x:c r="F13" s="18" t="str">
        <x:v>Pikachu</x:v>
      </x:c>
      <x:c r="G13" s="18" t="str">
        <x:v>XY-P Promotional cards</x:v>
      </x:c>
      <x:c r="H13" s="19" t="n">
        <x:v>2016</x:v>
      </x:c>
      <x:c r="I13" s="17" t="str">
        <x:v>279/XY-P</x:v>
      </x:c>
      <x:c r="J13" s="17" t="str"/>
      <x:c r="K13" s="17" t="str">
        <x:v>Promo</x:v>
      </x:c>
      <x:c r="L13" s="17" t="str">
        <x:v>Manquante</x:v>
      </x:c>
      <x:c r="M13" s="17" t="str">
        <x:v>Oui</x:v>
      </x:c>
      <x:c r="N13" s="17" t="str">
        <x:v>☐</x:v>
      </x:c>
      <x:c r="O13" s="17" t="str">
        <x:v>☐</x:v>
      </x:c>
      <x:c r="P13" s="17" t="str">
        <x:v>PokéCardex</x:v>
      </x:c>
      <x:c r="Q13" s="17" t="str">
        <x:v>https://www.pokecardex.com/series/jp/XYP</x:v>
      </x:c>
      <x:c r="R13" s="17" t="str">
        <x:v>https://pokecardex-scans.b-cdn.net/sets_jp/XYP/279.jpg?class=hd</x:v>
      </x:c>
      <x:c r="S13" s="17" t="str">
        <x:v>C:\Users\hugob\Documents\Projet codage perso\maison-de-carapuce\outputs\019fdbac-bcf2-77a2-b3c8-0e870f4e19fc\images-manquantes-finales\078_JP_XY-P-Promotional-cards_279-XY-P_Pikachu.webp</x:v>
      </x:c>
      <x:c r="T13" s="18" t="str">
        <x:v>Caméo Carapuce</x:v>
      </x:c>
      <x:c r="U13" s="17" t="n">
        <x:v>1</x:v>
      </x:c>
    </x:row>
    <x:row r="14">
      <x:c r="A14" s="17" t="str">
        <x:v>cameo|JP|xy p promotional cards|298|promo</x:v>
      </x:c>
      <x:c r="B14" s="17" t="str">
        <x:v>Caméo Carapuce</x:v>
      </x:c>
      <x:c r="C14" s="17" t="str">
        <x:v>Pokémon TCG physique</x:v>
      </x:c>
      <x:c r="D14" s="17" t="str">
        <x:v>JP</x:v>
      </x:c>
      <x:c r="E14" s="17" t="str">
        <x:v>JP</x:v>
      </x:c>
      <x:c r="F14" s="18" t="str">
        <x:v>M Sachiko-EX</x:v>
      </x:c>
      <x:c r="G14" s="18" t="str">
        <x:v>XY-P Promotional cards</x:v>
      </x:c>
      <x:c r="H14" s="19" t="n">
        <x:v>2016</x:v>
      </x:c>
      <x:c r="I14" s="17" t="str">
        <x:v>298/XY-P</x:v>
      </x:c>
      <x:c r="J14" s="17" t="str"/>
      <x:c r="K14" s="17" t="str">
        <x:v>Promo</x:v>
      </x:c>
      <x:c r="L14" s="17" t="str">
        <x:v>Manquante</x:v>
      </x:c>
      <x:c r="M14" s="17" t="str">
        <x:v>Oui</x:v>
      </x:c>
      <x:c r="N14" s="17" t="str">
        <x:v>☐</x:v>
      </x:c>
      <x:c r="O14" s="17" t="str">
        <x:v>☐</x:v>
      </x:c>
      <x:c r="P14" s="17" t="str">
        <x:v>PokéCardex</x:v>
      </x:c>
      <x:c r="Q14" s="17" t="str">
        <x:v>https://www.pokecardex.com/series/jp/XYP</x:v>
      </x:c>
      <x:c r="R14" s="17" t="str">
        <x:v>https://pokecardex-scans.b-cdn.net/sets_jp/XYP/298.jpg?class=hd</x:v>
      </x:c>
      <x:c r="S14" s="17" t="str">
        <x:v>C:\Users\hugob\Documents\Projet codage perso\maison-de-carapuce\outputs\019fdbac-bcf2-77a2-b3c8-0e870f4e19fc\images-manquantes-finales\079_JP_XY-P-Promotional-cards_298-XY-P_M-Sachiko-EX.webp</x:v>
      </x:c>
      <x:c r="T14" s="18" t="str">
        <x:v>Caméo Carapuce</x:v>
      </x:c>
      <x:c r="U14" s="17" t="n">
        <x:v>1</x:v>
      </x:c>
    </x:row>
    <x:row r="15">
      <x:c r="A15" s="17" t="str">
        <x:v>cameo|JP|tag all stars|196|sr</x:v>
      </x:c>
      <x:c r="B15" s="17" t="str">
        <x:v>Caméo Carapuce</x:v>
      </x:c>
      <x:c r="C15" s="17" t="str">
        <x:v>Pokémon TCG physique</x:v>
      </x:c>
      <x:c r="D15" s="17" t="str">
        <x:v>JP</x:v>
      </x:c>
      <x:c r="E15" s="17" t="str">
        <x:v>JP</x:v>
      </x:c>
      <x:c r="F15" s="18" t="str">
        <x:v>Green's Exploration</x:v>
      </x:c>
      <x:c r="G15" s="18" t="str">
        <x:v>Tag All Stars</x:v>
      </x:c>
      <x:c r="H15" s="19" t="n">
        <x:v>2019</x:v>
      </x:c>
      <x:c r="I15" s="17" t="str">
        <x:v>196/173</x:v>
      </x:c>
      <x:c r="J15" s="17" t="str"/>
      <x:c r="K15" s="17" t="str">
        <x:v>SR</x:v>
      </x:c>
      <x:c r="L15" s="17" t="str">
        <x:v>Manquante</x:v>
      </x:c>
      <x:c r="M15" s="17" t="str">
        <x:v>Oui</x:v>
      </x:c>
      <x:c r="N15" s="17" t="str">
        <x:v>☐</x:v>
      </x:c>
      <x:c r="O15" s="17" t="str">
        <x:v>☐</x:v>
      </x:c>
      <x:c r="P15" s="17" t="str">
        <x:v>PokéCardex</x:v>
      </x:c>
      <x:c r="Q15" s="17" t="str">
        <x:v>https://www.pokecardex.com/series/jp/SM12A</x:v>
      </x:c>
      <x:c r="R15" s="17" t="str">
        <x:v>https://pokecardex-scans.b-cdn.net/sets_jp/SM12A/196.jpg?class=hd</x:v>
      </x:c>
      <x:c r="S15" s="17" t="str">
        <x:v>C:\Users\hugob\Documents\Projet codage perso\maison-de-carapuce\outputs\019fdbac-bcf2-77a2-b3c8-0e870f4e19fc\images-manquantes-finales\080_JP_Tag-All-Stars_196-173_Green-s-Exploration.webp</x:v>
      </x:c>
      <x:c r="T15" s="18" t="str">
        <x:v>Caméo Carapuce; illustration de référence de l'impression chinoise</x:v>
      </x:c>
      <x:c r="U15" s="17" t="n">
        <x:v>1</x:v>
      </x:c>
    </x:row>
    <x:row r="16">
      <x:c r="A16" s="17" t="str">
        <x:v>cameo|ZH-CN|battle party set reward pack csmpic|33|sr</x:v>
      </x:c>
      <x:c r="B16" s="17" t="str">
        <x:v>Caméo Carapuce</x:v>
      </x:c>
      <x:c r="C16" s="17" t="str">
        <x:v>Pokémon TCG physique</x:v>
      </x:c>
      <x:c r="D16" s="17" t="str">
        <x:v>ZH-CN</x:v>
      </x:c>
      <x:c r="E16" s="17" t="str">
        <x:v>CN</x:v>
      </x:c>
      <x:c r="F16" s="18" t="str">
        <x:v>Exploration de Leaf / Green's Exploration</x:v>
      </x:c>
      <x:c r="G16" s="18" t="str">
        <x:v>Battle Party Set Reward Pack (CSMPiC)</x:v>
      </x:c>
      <x:c r="H16" s="19" t="n">
        <x:v>2021</x:v>
      </x:c>
      <x:c r="I16" s="17" t="str">
        <x:v>033/024</x:v>
      </x:c>
      <x:c r="J16" s="17" t="str"/>
      <x:c r="K16" s="17" t="str">
        <x:v>SR</x:v>
      </x:c>
      <x:c r="L16" s="17" t="str">
        <x:v>Manquante</x:v>
      </x:c>
      <x:c r="M16" s="17" t="str">
        <x:v>Oui</x:v>
      </x:c>
      <x:c r="N16" s="17" t="str">
        <x:v>☐</x:v>
      </x:c>
      <x:c r="O16" s="17" t="str">
        <x:v>☐</x:v>
      </x:c>
      <x:c r="P16" s="17" t="str">
        <x:v>Quest Corner + PokéCardex</x:v>
      </x:c>
      <x:c r="Q16" s="17" t="str">
        <x:v>https://questcorner.fr/products/carte-pokemon-exploration-de-leaf-033-024-sr-csmpi-chinois-simplifie?variant=55944724349276</x:v>
      </x:c>
      <x:c r="R16" s="17" t="str">
        <x:v>https://pokecardex-scans.b-cdn.net/sets_chn/CSMPIC/33.jpg?class=hd</x:v>
      </x:c>
      <x:c r="S16" s="17" t="str">
        <x:v>C:\Users\hugob\Documents\Projet codage perso\maison-de-carapuce\outputs\019fdbac-bcf2-77a2-b3c8-0e870f4e19fc\images-manquantes-finales\081_ZH-CN_Battle-Party-Set-Reward-Pack-CSMPiC-_033-024_Exploration-de-Leaf-Green-s-Exploration.webp</x:v>
      </x:c>
      <x:c r="T16" s="18" t="str">
        <x:v>Carte signalée par l'utilisateur; caméo Carapuce; impression chinoise simplifiée distincte</x:v>
      </x:c>
      <x:c r="U16" s="17" t="n">
        <x:v>1</x:v>
      </x:c>
    </x:row>
    <x:row r="17">
      <x:c r="A17" s="17" t="str">
        <x:v>named|EN|mfb-25</x:v>
      </x:c>
      <x:c r="B17" s="17" t="str">
        <x:v>Carte nommée Carapuce</x:v>
      </x:c>
      <x:c r="C17" s="17" t="str">
        <x:v>Pokémon TCG physique</x:v>
      </x:c>
      <x:c r="D17" s="17" t="str">
        <x:v>EN</x:v>
      </x:c>
      <x:c r="E17" s="17" t="str">
        <x:v>INT</x:v>
      </x:c>
      <x:c r="F17" s="18" t="str">
        <x:v>Squirtle</x:v>
      </x:c>
      <x:c r="G17" s="18" t="str">
        <x:v>My First Battle</x:v>
      </x:c>
      <x:c r="H17" s="19" t="n">
        <x:v>2023</x:v>
      </x:c>
      <x:c r="I17" s="17" t="str">
        <x:v>25</x:v>
      </x:c>
      <x:c r="J17" s="17" t="str">
        <x:v>None</x:v>
      </x:c>
      <x:c r="K17" s="17" t="str">
        <x:v>normal</x:v>
      </x:c>
      <x:c r="L17" s="17" t="str">
        <x:v>Manquante</x:v>
      </x:c>
      <x:c r="M17" s="17" t="str">
        <x:v>Non</x:v>
      </x:c>
      <x:c r="N17" s="17" t="str">
        <x:v>☐</x:v>
      </x:c>
      <x:c r="O17" s="17" t="str">
        <x:v>☐</x:v>
      </x:c>
      <x:c r="P17" s="17" t="str">
        <x:v>TCGdex</x:v>
      </x:c>
      <x:c r="Q17" s="17" t="str">
        <x:v>https://api.tcgdex.net/v2/en/cards/mfb-25</x:v>
      </x:c>
      <x:c r="R17" s="17"/>
      <x:c r="S17" s="17"/>
      <x:c r="T17" s="18" t="str">
        <x:v>Une ligne par dessin/langue; impressions et stamps à éclater après contrôle humain</x:v>
      </x:c>
      <x:c r="U17" s="17" t="n">
        <x:v>1</x:v>
      </x:c>
    </x:row>
    <x:row r="18">
      <x:c r="A18" s="17" t="str">
        <x:v>named|ES|bw7-29</x:v>
      </x:c>
      <x:c r="B18" s="17" t="str">
        <x:v>Carte nommée Carapuce</x:v>
      </x:c>
      <x:c r="C18" s="17" t="str">
        <x:v>Pokémon TCG physique</x:v>
      </x:c>
      <x:c r="D18" s="17" t="str">
        <x:v>ES</x:v>
      </x:c>
      <x:c r="E18" s="17" t="str">
        <x:v>ES</x:v>
      </x:c>
      <x:c r="F18" s="18" t="str">
        <x:v>Squirtle</x:v>
      </x:c>
      <x:c r="G18" s="18" t="str">
        <x:v>Fronteras Cruzadas</x:v>
      </x:c>
      <x:c r="H18" s="19" t="n">
        <x:v>2012</x:v>
      </x:c>
      <x:c r="I18" s="17" t="str">
        <x:v>29</x:v>
      </x:c>
      <x:c r="J18" s="17" t="str">
        <x:v>Común</x:v>
      </x:c>
      <x:c r="K18" s="17" t="str">
        <x:v>normal</x:v>
      </x:c>
      <x:c r="L18" s="17" t="str">
        <x:v>Manquante</x:v>
      </x:c>
      <x:c r="M18" s="17" t="str">
        <x:v>Oui</x:v>
      </x:c>
      <x:c r="N18" s="17" t="str">
        <x:v>☐</x:v>
      </x:c>
      <x:c r="O18" s="17" t="str">
        <x:v>☐</x:v>
      </x:c>
      <x:c r="P18" s="17" t="str">
        <x:v>TCGdex</x:v>
      </x:c>
      <x:c r="Q18" s="17" t="str">
        <x:v>https://api.tcgdex.net/v2/es/cards/bw7-29</x:v>
      </x:c>
      <x:c r="R18" s="17" t="str">
        <x:v>https://assets.tcgdex.net/es/bw/bw7/29/high.webp</x:v>
      </x:c>
      <x:c r="S18" s="17" t="str">
        <x:v>C:\Users\hugob\Documents\Projet codage perso\maison-de-carapuce\outputs\019fdbac-bcf2-77a2-b3c8-0e870f4e19fc\images-manquantes-finales\034_ES_Fronteras-Cruzadas_29_Squirtle.webp</x:v>
      </x:c>
      <x:c r="T18" s="18" t="str">
        <x:v>Une ligne par dessin/langue; impressions et stamps à éclater après contrôle humain</x:v>
      </x:c>
      <x:c r="U18" s="17" t="n">
        <x:v>1</x:v>
      </x:c>
    </x:row>
    <x:row r="19">
      <x:c r="A19" s="17" t="str">
        <x:v>named|ES|bw8-24</x:v>
      </x:c>
      <x:c r="B19" s="17" t="str">
        <x:v>Carte nommée Carapuce</x:v>
      </x:c>
      <x:c r="C19" s="17" t="str">
        <x:v>Pokémon TCG physique</x:v>
      </x:c>
      <x:c r="D19" s="17" t="str">
        <x:v>ES</x:v>
      </x:c>
      <x:c r="E19" s="17" t="str">
        <x:v>ES</x:v>
      </x:c>
      <x:c r="F19" s="18" t="str">
        <x:v>Squirtle</x:v>
      </x:c>
      <x:c r="G19" s="18" t="str">
        <x:v>Tormenta Plasma</x:v>
      </x:c>
      <x:c r="H19" s="19" t="n">
        <x:v>2013</x:v>
      </x:c>
      <x:c r="I19" s="17" t="str">
        <x:v>24</x:v>
      </x:c>
      <x:c r="J19" s="17" t="str">
        <x:v>Común</x:v>
      </x:c>
      <x:c r="K19" s="17" t="str">
        <x:v>normal</x:v>
      </x:c>
      <x:c r="L19" s="17" t="str">
        <x:v>Manquante</x:v>
      </x:c>
      <x:c r="M19" s="17" t="str">
        <x:v>Oui</x:v>
      </x:c>
      <x:c r="N19" s="17" t="str">
        <x:v>☐</x:v>
      </x:c>
      <x:c r="O19" s="17" t="str">
        <x:v>☐</x:v>
      </x:c>
      <x:c r="P19" s="17" t="str">
        <x:v>TCGdex</x:v>
      </x:c>
      <x:c r="Q19" s="17" t="str">
        <x:v>https://api.tcgdex.net/v2/es/cards/bw8-24</x:v>
      </x:c>
      <x:c r="R19" s="17" t="str">
        <x:v>https://assets.tcgdex.net/es/bw/bw8/24/high.webp</x:v>
      </x:c>
      <x:c r="S19" s="17" t="str">
        <x:v>C:\Users\hugob\Documents\Projet codage perso\maison-de-carapuce\outputs\019fdbac-bcf2-77a2-b3c8-0e870f4e19fc\images-manquantes-finales\033_ES_Tormenta-Plasma_24_Squirtle.webp</x:v>
      </x:c>
      <x:c r="T19" s="18" t="str">
        <x:v>Une ligne par dessin/langue; impressions et stamps à éclater après contrôle humain</x:v>
      </x:c>
      <x:c r="U19" s="17" t="n">
        <x:v>1</x:v>
      </x:c>
    </x:row>
    <x:row r="20">
      <x:c r="A20" s="17" t="str">
        <x:v>named|ES|swshp-SWSH233</x:v>
      </x:c>
      <x:c r="B20" s="17" t="str">
        <x:v>Carte nommée Carapuce</x:v>
      </x:c>
      <x:c r="C20" s="17" t="str">
        <x:v>Pokémon TCG physique</x:v>
      </x:c>
      <x:c r="D20" s="17" t="str">
        <x:v>ES</x:v>
      </x:c>
      <x:c r="E20" s="17" t="str">
        <x:v>ES</x:v>
      </x:c>
      <x:c r="F20" s="18" t="str">
        <x:v>Squirtle</x:v>
      </x:c>
      <x:c r="G20" s="18" t="str">
        <x:v>Cartas de promoción ESES</x:v>
      </x:c>
      <x:c r="H20" s="19" t="n">
        <x:v>2019</x:v>
      </x:c>
      <x:c r="I20" s="17" t="str">
        <x:v>SWSH233</x:v>
      </x:c>
      <x:c r="J20" s="17" t="str">
        <x:v>Promo</x:v>
      </x:c>
      <x:c r="K20" s="17" t="str">
        <x:v>normal</x:v>
      </x:c>
      <x:c r="L20" s="17" t="str">
        <x:v>Manquante</x:v>
      </x:c>
      <x:c r="M20" s="17" t="str">
        <x:v>Non</x:v>
      </x:c>
      <x:c r="N20" s="17" t="str">
        <x:v>☐</x:v>
      </x:c>
      <x:c r="O20" s="17" t="str">
        <x:v>☐</x:v>
      </x:c>
      <x:c r="P20" s="17" t="str">
        <x:v>TCGdex</x:v>
      </x:c>
      <x:c r="Q20" s="17" t="str">
        <x:v>https://api.tcgdex.net/v2/es/cards/swshp-SWSH233</x:v>
      </x:c>
      <x:c r="R20" s="17"/>
      <x:c r="S20" s="17"/>
      <x:c r="T20" s="18" t="str">
        <x:v>Une ligne par dessin/langue; impressions et stamps à éclater après contrôle humain</x:v>
      </x:c>
      <x:c r="U20" s="17" t="n">
        <x:v>1</x:v>
      </x:c>
    </x:row>
    <x:row r="21">
      <x:c r="A21" s="17" t="str">
        <x:v>named|ES|sm9-22</x:v>
      </x:c>
      <x:c r="B21" s="17" t="str">
        <x:v>Carte nommée Carapuce</x:v>
      </x:c>
      <x:c r="C21" s="17" t="str">
        <x:v>Pokémon TCG physique</x:v>
      </x:c>
      <x:c r="D21" s="17" t="str">
        <x:v>ES</x:v>
      </x:c>
      <x:c r="E21" s="17" t="str">
        <x:v>ES</x:v>
      </x:c>
      <x:c r="F21" s="18" t="str">
        <x:v>Squirtle</x:v>
      </x:c>
      <x:c r="G21" s="18" t="str">
        <x:v>Union de Aliados</x:v>
      </x:c>
      <x:c r="H21" s="19" t="n">
        <x:v>2019</x:v>
      </x:c>
      <x:c r="I21" s="17" t="str">
        <x:v>22</x:v>
      </x:c>
      <x:c r="J21" s="17" t="str">
        <x:v>Común</x:v>
      </x:c>
      <x:c r="K21" s="17" t="str">
        <x:v>normal</x:v>
      </x:c>
      <x:c r="L21" s="17" t="str">
        <x:v>Manquante</x:v>
      </x:c>
      <x:c r="M21" s="17" t="str">
        <x:v>Oui</x:v>
      </x:c>
      <x:c r="N21" s="17" t="str">
        <x:v>☐</x:v>
      </x:c>
      <x:c r="O21" s="17" t="str">
        <x:v>☐</x:v>
      </x:c>
      <x:c r="P21" s="17" t="str">
        <x:v>TCGdex</x:v>
      </x:c>
      <x:c r="Q21" s="17" t="str">
        <x:v>https://api.tcgdex.net/v2/es/cards/sm9-22</x:v>
      </x:c>
      <x:c r="R21" s="17" t="str">
        <x:v>https://assets.tcgdex.net/es/sm/sm9/22/high.webp</x:v>
      </x:c>
      <x:c r="S21" s="17" t="str">
        <x:v>C:\Users\hugob\Documents\Projet codage perso\maison-de-carapuce\outputs\019fdbac-bcf2-77a2-b3c8-0e870f4e19fc\images-manquantes-finales\031_ES_Union-de-Aliados_22_Squirtle.webp</x:v>
      </x:c>
      <x:c r="T21" s="18" t="str">
        <x:v>Une ligne par dessin/langue; impressions et stamps à éclater après contrôle humain</x:v>
      </x:c>
      <x:c r="U21" s="17" t="n">
        <x:v>1</x:v>
      </x:c>
    </x:row>
    <x:row r="22">
      <x:c r="A22" s="17" t="str">
        <x:v>named|ES|sm9-23</x:v>
      </x:c>
      <x:c r="B22" s="17" t="str">
        <x:v>Carte nommée Carapuce</x:v>
      </x:c>
      <x:c r="C22" s="17" t="str">
        <x:v>Pokémon TCG physique</x:v>
      </x:c>
      <x:c r="D22" s="17" t="str">
        <x:v>ES</x:v>
      </x:c>
      <x:c r="E22" s="17" t="str">
        <x:v>ES</x:v>
      </x:c>
      <x:c r="F22" s="18" t="str">
        <x:v>Squirtle</x:v>
      </x:c>
      <x:c r="G22" s="18" t="str">
        <x:v>Union de Aliados</x:v>
      </x:c>
      <x:c r="H22" s="19" t="n">
        <x:v>2019</x:v>
      </x:c>
      <x:c r="I22" s="17" t="str">
        <x:v>23</x:v>
      </x:c>
      <x:c r="J22" s="17" t="str">
        <x:v>Común</x:v>
      </x:c>
      <x:c r="K22" s="17" t="str">
        <x:v>normal</x:v>
      </x:c>
      <x:c r="L22" s="17" t="str">
        <x:v>Manquante</x:v>
      </x:c>
      <x:c r="M22" s="17" t="str">
        <x:v>Oui</x:v>
      </x:c>
      <x:c r="N22" s="17" t="str">
        <x:v>☐</x:v>
      </x:c>
      <x:c r="O22" s="17" t="str">
        <x:v>☐</x:v>
      </x:c>
      <x:c r="P22" s="17" t="str">
        <x:v>TCGdex</x:v>
      </x:c>
      <x:c r="Q22" s="17" t="str">
        <x:v>https://api.tcgdex.net/v2/es/cards/sm9-23</x:v>
      </x:c>
      <x:c r="R22" s="17" t="str">
        <x:v>https://assets.tcgdex.net/es/sm/sm9/23/high.webp</x:v>
      </x:c>
      <x:c r="S22" s="17" t="str">
        <x:v>C:\Users\hugob\Documents\Projet codage perso\maison-de-carapuce\outputs\019fdbac-bcf2-77a2-b3c8-0e870f4e19fc\images-manquantes-finales\032_ES_Union-de-Aliados_23_Squirtle.webp</x:v>
      </x:c>
      <x:c r="T22" s="18" t="str">
        <x:v>Une ligne par dessin/langue; impressions et stamps à éclater après contrôle humain</x:v>
      </x:c>
      <x:c r="U22" s="17" t="n">
        <x:v>1</x:v>
      </x:c>
    </x:row>
    <x:row r="23">
      <x:c r="A23" s="17" t="str">
        <x:v>named|ES|sm10-33</x:v>
      </x:c>
      <x:c r="B23" s="17" t="str">
        <x:v>Carte nommée Carapuce</x:v>
      </x:c>
      <x:c r="C23" s="17" t="str">
        <x:v>Pokémon TCG physique</x:v>
      </x:c>
      <x:c r="D23" s="17" t="str">
        <x:v>ES</x:v>
      </x:c>
      <x:c r="E23" s="17" t="str">
        <x:v>ES</x:v>
      </x:c>
      <x:c r="F23" s="18" t="str">
        <x:v>Squirtle</x:v>
      </x:c>
      <x:c r="G23" s="18" t="str">
        <x:v>Vínculos Indestructibles</x:v>
      </x:c>
      <x:c r="H23" s="19" t="n">
        <x:v>2019</x:v>
      </x:c>
      <x:c r="I23" s="17" t="str">
        <x:v>33</x:v>
      </x:c>
      <x:c r="J23" s="17" t="str">
        <x:v>Común</x:v>
      </x:c>
      <x:c r="K23" s="17" t="str">
        <x:v>normal</x:v>
      </x:c>
      <x:c r="L23" s="17" t="str">
        <x:v>Manquante</x:v>
      </x:c>
      <x:c r="M23" s="17" t="str">
        <x:v>Oui</x:v>
      </x:c>
      <x:c r="N23" s="17" t="str">
        <x:v>☐</x:v>
      </x:c>
      <x:c r="O23" s="17" t="str">
        <x:v>☐</x:v>
      </x:c>
      <x:c r="P23" s="17" t="str">
        <x:v>TCGdex</x:v>
      </x:c>
      <x:c r="Q23" s="17" t="str">
        <x:v>https://api.tcgdex.net/v2/es/cards/sm10-33</x:v>
      </x:c>
      <x:c r="R23" s="17" t="str">
        <x:v>https://assets.tcgdex.net/es/sm/sm10/33/high.webp</x:v>
      </x:c>
      <x:c r="S23" s="17" t="str">
        <x:v>C:\Users\hugob\Documents\Projet codage perso\maison-de-carapuce\outputs\019fdbac-bcf2-77a2-b3c8-0e870f4e19fc\images-manquantes-finales\035_ES_Vinculos-Indestructibles_33_Squirtle.webp</x:v>
      </x:c>
      <x:c r="T23" s="18" t="str">
        <x:v>Une ligne par dessin/langue; impressions et stamps à éclater après contrôle humain</x:v>
      </x:c>
      <x:c r="U23" s="17" t="n">
        <x:v>1</x:v>
      </x:c>
    </x:row>
    <x:row r="24">
      <x:c r="A24" s="17" t="str">
        <x:v>named|ES|swsh10.5-015</x:v>
      </x:c>
      <x:c r="B24" s="17" t="str">
        <x:v>Carte nommée Carapuce</x:v>
      </x:c>
      <x:c r="C24" s="17" t="str">
        <x:v>Pokémon TCG physique</x:v>
      </x:c>
      <x:c r="D24" s="17" t="str">
        <x:v>ES</x:v>
      </x:c>
      <x:c r="E24" s="17" t="str">
        <x:v>ES</x:v>
      </x:c>
      <x:c r="F24" s="18" t="str">
        <x:v>Squirtle</x:v>
      </x:c>
      <x:c r="G24" s="18" t="str">
        <x:v>Pokémon GO</x:v>
      </x:c>
      <x:c r="H24" s="19" t="n">
        <x:v>2022</x:v>
      </x:c>
      <x:c r="I24" s="17" t="str">
        <x:v>015</x:v>
      </x:c>
      <x:c r="J24" s="17" t="str">
        <x:v>Común</x:v>
      </x:c>
      <x:c r="K24" s="17" t="str">
        <x:v>normal, reverse</x:v>
      </x:c>
      <x:c r="L24" s="17" t="str">
        <x:v>Manquante</x:v>
      </x:c>
      <x:c r="M24" s="17" t="str">
        <x:v>Oui</x:v>
      </x:c>
      <x:c r="N24" s="17" t="str">
        <x:v>☐</x:v>
      </x:c>
      <x:c r="O24" s="17" t="str">
        <x:v>☐</x:v>
      </x:c>
      <x:c r="P24" s="17" t="str">
        <x:v>TCGdex</x:v>
      </x:c>
      <x:c r="Q24" s="17" t="str">
        <x:v>https://api.tcgdex.net/v2/es/cards/swsh10.5-015</x:v>
      </x:c>
      <x:c r="R24" s="17" t="str">
        <x:v>https://assets.tcgdex.net/es/swsh/swsh10.5/015/high.webp</x:v>
      </x:c>
      <x:c r="S24" s="17" t="str">
        <x:v>C:\Users\hugob\Documents\Projet codage perso\maison-de-carapuce\outputs\019fdbac-bcf2-77a2-b3c8-0e870f4e19fc\images-manquantes-finales\030_ES_Pokemon-GO_015_Squirtle.webp</x:v>
      </x:c>
      <x:c r="T24" s="18" t="str">
        <x:v>Une ligne par dessin/langue; impressions et stamps à éclater après contrôle humain</x:v>
      </x:c>
      <x:c r="U24" s="17" t="n">
        <x:v>1</x:v>
      </x:c>
    </x:row>
    <x:row r="25">
      <x:c r="A25" s="17" t="str">
        <x:v>named|ES|sv03.5-007</x:v>
      </x:c>
      <x:c r="B25" s="17" t="str">
        <x:v>Carte nommée Carapuce</x:v>
      </x:c>
      <x:c r="C25" s="17" t="str">
        <x:v>Pokémon TCG physique</x:v>
      </x:c>
      <x:c r="D25" s="17" t="str">
        <x:v>ES</x:v>
      </x:c>
      <x:c r="E25" s="17" t="str">
        <x:v>ES</x:v>
      </x:c>
      <x:c r="F25" s="18" t="str">
        <x:v>Squirtle</x:v>
      </x:c>
      <x:c r="G25" s="18" t="str">
        <x:v>151</x:v>
      </x:c>
      <x:c r="H25" s="19" t="n">
        <x:v>2023</x:v>
      </x:c>
      <x:c r="I25" s="17" t="str">
        <x:v>007</x:v>
      </x:c>
      <x:c r="J25" s="17" t="str">
        <x:v>Común</x:v>
      </x:c>
      <x:c r="K25" s="17" t="str">
        <x:v>normal, reverse</x:v>
      </x:c>
      <x:c r="L25" s="17" t="str">
        <x:v>Manquante</x:v>
      </x:c>
      <x:c r="M25" s="17" t="str">
        <x:v>Oui</x:v>
      </x:c>
      <x:c r="N25" s="17" t="str">
        <x:v>☐</x:v>
      </x:c>
      <x:c r="O25" s="17" t="str">
        <x:v>☐</x:v>
      </x:c>
      <x:c r="P25" s="17" t="str">
        <x:v>TCGdex</x:v>
      </x:c>
      <x:c r="Q25" s="17" t="str">
        <x:v>https://api.tcgdex.net/v2/es/cards/sv03.5-007</x:v>
      </x:c>
      <x:c r="R25" s="17" t="str">
        <x:v>https://assets.tcgdex.net/es/sv/sv03.5/007/high.webp</x:v>
      </x:c>
      <x:c r="S25" s="17" t="str">
        <x:v>C:\Users\hugob\Documents\Projet codage perso\maison-de-carapuce\outputs\019fdbac-bcf2-77a2-b3c8-0e870f4e19fc\images-manquantes-finales\029_ES_151_007_Squirtle.webp</x:v>
      </x:c>
      <x:c r="T25" s="18" t="str">
        <x:v>Une ligne par dessin/langue; impressions et stamps à éclater après contrôle humain</x:v>
      </x:c>
      <x:c r="U25" s="17" t="n">
        <x:v>1</x:v>
      </x:c>
    </x:row>
    <x:row r="26">
      <x:c r="A26" s="17" t="str">
        <x:v>named|ES|sv03.5-170</x:v>
      </x:c>
      <x:c r="B26" s="17" t="str">
        <x:v>Carte nommée Carapuce</x:v>
      </x:c>
      <x:c r="C26" s="17" t="str">
        <x:v>Pokémon TCG physique</x:v>
      </x:c>
      <x:c r="D26" s="17" t="str">
        <x:v>ES</x:v>
      </x:c>
      <x:c r="E26" s="17" t="str">
        <x:v>ES</x:v>
      </x:c>
      <x:c r="F26" s="18" t="str">
        <x:v>Squirtle</x:v>
      </x:c>
      <x:c r="G26" s="18" t="str">
        <x:v>151</x:v>
      </x:c>
      <x:c r="H26" s="19" t="n">
        <x:v>2023</x:v>
      </x:c>
      <x:c r="I26" s="17" t="str">
        <x:v>170</x:v>
      </x:c>
      <x:c r="J26" s="17" t="str">
        <x:v>Rara Ilustración</x:v>
      </x:c>
      <x:c r="K26" s="17" t="str">
        <x:v>holo</x:v>
      </x:c>
      <x:c r="L26" s="17" t="str">
        <x:v>Manquante</x:v>
      </x:c>
      <x:c r="M26" s="17" t="str">
        <x:v>Oui</x:v>
      </x:c>
      <x:c r="N26" s="17" t="str">
        <x:v>☐</x:v>
      </x:c>
      <x:c r="O26" s="17" t="str">
        <x:v>☐</x:v>
      </x:c>
      <x:c r="P26" s="17" t="str">
        <x:v>TCGdex</x:v>
      </x:c>
      <x:c r="Q26" s="17" t="str">
        <x:v>https://api.tcgdex.net/v2/es/cards/sv03.5-170</x:v>
      </x:c>
      <x:c r="R26" s="17" t="str">
        <x:v>https://assets.tcgdex.net/es/sv/sv03.5/170/high.webp</x:v>
      </x:c>
      <x:c r="S26" s="17" t="str">
        <x:v>C:\Users\hugob\Documents\Projet codage perso\maison-de-carapuce\outputs\019fdbac-bcf2-77a2-b3c8-0e870f4e19fc\images-manquantes-finales\039_ES_151_170_Squirtle.webp</x:v>
      </x:c>
      <x:c r="T26" s="18" t="str">
        <x:v>Une ligne par dessin/langue; impressions et stamps à éclater après contrôle humain</x:v>
      </x:c>
      <x:c r="U26" s="17" t="n">
        <x:v>1</x:v>
      </x:c>
    </x:row>
    <x:row r="27">
      <x:c r="A27" s="17" t="str">
        <x:v>named|ES|svp-048</x:v>
      </x:c>
      <x:c r="B27" s="17" t="str">
        <x:v>Carte nommée Carapuce</x:v>
      </x:c>
      <x:c r="C27" s="17" t="str">
        <x:v>Pokémon TCG physique</x:v>
      </x:c>
      <x:c r="D27" s="17" t="str">
        <x:v>ES</x:v>
      </x:c>
      <x:c r="E27" s="17" t="str">
        <x:v>ES</x:v>
      </x:c>
      <x:c r="F27" s="18" t="str">
        <x:v>Squirtle</x:v>
      </x:c>
      <x:c r="G27" s="18" t="str">
        <x:v>SVP Black Star Promos</x:v>
      </x:c>
      <x:c r="H27" s="19" t="n">
        <x:v>2023</x:v>
      </x:c>
      <x:c r="I27" s="17" t="str">
        <x:v>048</x:v>
      </x:c>
      <x:c r="J27" s="17" t="str">
        <x:v>Promo</x:v>
      </x:c>
      <x:c r="K27" s="17" t="str">
        <x:v>holo</x:v>
      </x:c>
      <x:c r="L27" s="17" t="str">
        <x:v>Manquante</x:v>
      </x:c>
      <x:c r="M27" s="17" t="str">
        <x:v>Oui</x:v>
      </x:c>
      <x:c r="N27" s="17" t="str">
        <x:v>☐</x:v>
      </x:c>
      <x:c r="O27" s="17" t="str">
        <x:v>☐</x:v>
      </x:c>
      <x:c r="P27" s="17" t="str">
        <x:v>TCGdex</x:v>
      </x:c>
      <x:c r="Q27" s="17" t="str">
        <x:v>https://api.tcgdex.net/v2/es/cards/svp-048</x:v>
      </x:c>
      <x:c r="R27" s="17" t="str">
        <x:v>https://assets.tcgdex.net/es/sv/svp/048/high.webp</x:v>
      </x:c>
      <x:c r="S27" s="17" t="str">
        <x:v>C:\Users\hugob\Documents\Projet codage perso\maison-de-carapuce\outputs\019fdbac-bcf2-77a2-b3c8-0e870f4e19fc\images-manquantes-finales\037_ES_SVP-Black-Star-Promos_048_Squirtle.webp</x:v>
      </x:c>
      <x:c r="T27" s="18" t="str">
        <x:v>Une ligne par dessin/langue; impressions et stamps à éclater après contrôle humain</x:v>
      </x:c>
      <x:c r="U27" s="17" t="n">
        <x:v>1</x:v>
      </x:c>
    </x:row>
    <x:row r="28">
      <x:c r="A28" s="17" t="str">
        <x:v>named|ES|sv07-148</x:v>
      </x:c>
      <x:c r="B28" s="17" t="str">
        <x:v>Carte nommée Carapuce</x:v>
      </x:c>
      <x:c r="C28" s="17" t="str">
        <x:v>Pokémon TCG physique</x:v>
      </x:c>
      <x:c r="D28" s="17" t="str">
        <x:v>ES</x:v>
      </x:c>
      <x:c r="E28" s="17" t="str">
        <x:v>ES</x:v>
      </x:c>
      <x:c r="F28" s="18" t="str">
        <x:v>Squirtle</x:v>
      </x:c>
      <x:c r="G28" s="18" t="str">
        <x:v>Corona Astral</x:v>
      </x:c>
      <x:c r="H28" s="19" t="n">
        <x:v>2024</x:v>
      </x:c>
      <x:c r="I28" s="17" t="str">
        <x:v>148</x:v>
      </x:c>
      <x:c r="J28" s="17" t="str">
        <x:v>Rara Ilustración</x:v>
      </x:c>
      <x:c r="K28" s="17" t="str">
        <x:v>holo</x:v>
      </x:c>
      <x:c r="L28" s="17" t="str">
        <x:v>Manquante</x:v>
      </x:c>
      <x:c r="M28" s="17" t="str">
        <x:v>Oui</x:v>
      </x:c>
      <x:c r="N28" s="17" t="str">
        <x:v>☐</x:v>
      </x:c>
      <x:c r="O28" s="17" t="str">
        <x:v>☐</x:v>
      </x:c>
      <x:c r="P28" s="17" t="str">
        <x:v>TCGdex</x:v>
      </x:c>
      <x:c r="Q28" s="17" t="str">
        <x:v>https://api.tcgdex.net/v2/es/cards/sv07-148</x:v>
      </x:c>
      <x:c r="R28" s="17" t="str">
        <x:v>https://assets.tcgdex.net/es/sv/sv07/148/high.webp</x:v>
      </x:c>
      <x:c r="S28" s="17" t="str">
        <x:v>C:\Users\hugob\Documents\Projet codage perso\maison-de-carapuce\outputs\019fdbac-bcf2-77a2-b3c8-0e870f4e19fc\images-manquantes-finales\038_ES_Corona-Astral_148_Squirtle.webp</x:v>
      </x:c>
      <x:c r="T28" s="18" t="str">
        <x:v>Une ligne par dessin/langue; impressions et stamps à éclater après contrôle humain</x:v>
      </x:c>
      <x:c r="U28" s="17" t="n">
        <x:v>1</x:v>
      </x:c>
    </x:row>
    <x:row r="29">
      <x:c r="A29" s="17" t="str">
        <x:v>named|ES|mep-039</x:v>
      </x:c>
      <x:c r="B29" s="17" t="str">
        <x:v>Carte nommée Carapuce</x:v>
      </x:c>
      <x:c r="C29" s="17" t="str">
        <x:v>Pokémon TCG physique</x:v>
      </x:c>
      <x:c r="D29" s="17" t="str">
        <x:v>ES</x:v>
      </x:c>
      <x:c r="E29" s="17" t="str">
        <x:v>ES</x:v>
      </x:c>
      <x:c r="F29" s="18" t="str">
        <x:v>Squirtle</x:v>
      </x:c>
      <x:c r="G29" s="18" t="str">
        <x:v>MEP Black Star Promos</x:v>
      </x:c>
      <x:c r="H29" s="19" t="n">
        <x:v>2025</x:v>
      </x:c>
      <x:c r="I29" s="17" t="str">
        <x:v>039</x:v>
      </x:c>
      <x:c r="J29" s="17" t="str">
        <x:v>Promo</x:v>
      </x:c>
      <x:c r="K29" s="17" t="str">
        <x:v>holo</x:v>
      </x:c>
      <x:c r="L29" s="17" t="str">
        <x:v>Manquante</x:v>
      </x:c>
      <x:c r="M29" s="17" t="str">
        <x:v>Non</x:v>
      </x:c>
      <x:c r="N29" s="17" t="str">
        <x:v>☐</x:v>
      </x:c>
      <x:c r="O29" s="17" t="str">
        <x:v>☐</x:v>
      </x:c>
      <x:c r="P29" s="17" t="str">
        <x:v>TCGdex</x:v>
      </x:c>
      <x:c r="Q29" s="17" t="str">
        <x:v>https://api.tcgdex.net/v2/es/cards/mep-039</x:v>
      </x:c>
      <x:c r="R29" s="17"/>
      <x:c r="S29" s="17"/>
      <x:c r="T29" s="18" t="str">
        <x:v>Une ligne par dessin/langue; impressions et stamps à éclater après contrôle humain</x:v>
      </x:c>
      <x:c r="U29" s="17" t="n">
        <x:v>1</x:v>
      </x:c>
    </x:row>
    <x:row r="30">
      <x:c r="A30" s="17" t="str">
        <x:v>named|FR|base1-63</x:v>
      </x:c>
      <x:c r="B30" s="17" t="str">
        <x:v>Carte nommée Carapuce</x:v>
      </x:c>
      <x:c r="C30" s="17" t="str">
        <x:v>Pokémon TCG physique</x:v>
      </x:c>
      <x:c r="D30" s="17" t="str">
        <x:v>FR</x:v>
      </x:c>
      <x:c r="E30" s="17" t="str">
        <x:v>FR</x:v>
      </x:c>
      <x:c r="F30" s="18" t="str">
        <x:v>Carapuce</x:v>
      </x:c>
      <x:c r="G30" s="18" t="str">
        <x:v>Set de Base</x:v>
      </x:c>
      <x:c r="H30" s="19" t="n">
        <x:v>1999</x:v>
      </x:c>
      <x:c r="I30" s="17" t="str">
        <x:v>63</x:v>
      </x:c>
      <x:c r="J30" s="17" t="str">
        <x:v>Commune</x:v>
      </x:c>
      <x:c r="K30" s="17" t="str">
        <x:v>firstEdition, normal</x:v>
      </x:c>
      <x:c r="L30" s="17" t="str">
        <x:v>Manquante</x:v>
      </x:c>
      <x:c r="M30" s="17" t="str">
        <x:v>Oui</x:v>
      </x:c>
      <x:c r="N30" s="17" t="str">
        <x:v>☐</x:v>
      </x:c>
      <x:c r="O30" s="17" t="str">
        <x:v>☐</x:v>
      </x:c>
      <x:c r="P30" s="17" t="str">
        <x:v>TCGdex</x:v>
      </x:c>
      <x:c r="Q30" s="17" t="str">
        <x:v>https://api.tcgdex.net/v2/fr/cards/base1-63</x:v>
      </x:c>
      <x:c r="R30" s="17" t="str">
        <x:v>https://assets.tcgdex.net/fr/base/base1/63/high.webp</x:v>
      </x:c>
      <x:c r="S30" s="17" t="str">
        <x:v>C:\Users\hugob\Documents\Projet codage perso\maison-de-carapuce\outputs\019fdbac-bcf2-77a2-b3c8-0e870f4e19fc\images-manquantes-finales\015_FR_Set-de-Base_63_Carapuce.webp</x:v>
      </x:c>
      <x:c r="T30" s="18" t="str">
        <x:v>Une ligne par dessin/langue; impressions et stamps à éclater après contrôle humain</x:v>
      </x:c>
      <x:c r="U30" s="17" t="n">
        <x:v>1</x:v>
      </x:c>
    </x:row>
    <x:row r="31">
      <x:c r="A31" s="17" t="str">
        <x:v>named|FR|base5-68</x:v>
      </x:c>
      <x:c r="B31" s="17" t="str">
        <x:v>Carte nommée Carapuce</x:v>
      </x:c>
      <x:c r="C31" s="17" t="str">
        <x:v>Pokémon TCG physique</x:v>
      </x:c>
      <x:c r="D31" s="17" t="str">
        <x:v>FR</x:v>
      </x:c>
      <x:c r="E31" s="17" t="str">
        <x:v>FR</x:v>
      </x:c>
      <x:c r="F31" s="18" t="str">
        <x:v>Carapuce</x:v>
      </x:c>
      <x:c r="G31" s="18" t="str">
        <x:v>Team Rocket</x:v>
      </x:c>
      <x:c r="H31" s="19" t="n">
        <x:v>2000</x:v>
      </x:c>
      <x:c r="I31" s="17" t="str">
        <x:v>68</x:v>
      </x:c>
      <x:c r="J31" s="17" t="str">
        <x:v>Commune</x:v>
      </x:c>
      <x:c r="K31" s="17" t="str">
        <x:v>firstEdition, normal</x:v>
      </x:c>
      <x:c r="L31" s="17" t="str">
        <x:v>Manquante</x:v>
      </x:c>
      <x:c r="M31" s="17" t="str">
        <x:v>Oui</x:v>
      </x:c>
      <x:c r="N31" s="17" t="str">
        <x:v>☐</x:v>
      </x:c>
      <x:c r="O31" s="17" t="str">
        <x:v>☐</x:v>
      </x:c>
      <x:c r="P31" s="17" t="str">
        <x:v>TCGdex</x:v>
      </x:c>
      <x:c r="Q31" s="17" t="str">
        <x:v>https://api.tcgdex.net/v2/fr/cards/base5-68</x:v>
      </x:c>
      <x:c r="R31" s="17" t="str">
        <x:v>https://assets.tcgdex.net/fr/base/base5/68/high.webp</x:v>
      </x:c>
      <x:c r="S31" s="17" t="str">
        <x:v>C:\Users\hugob\Documents\Projet codage perso\maison-de-carapuce\outputs\019fdbac-bcf2-77a2-b3c8-0e870f4e19fc\images-manquantes-finales\019_FR_Team-Rocket_68_Carapuce.webp</x:v>
      </x:c>
      <x:c r="T31" s="18" t="str">
        <x:v>Une ligne par dessin/langue; impressions et stamps à éclater après contrôle humain</x:v>
      </x:c>
      <x:c r="U31" s="17" t="n">
        <x:v>1</x:v>
      </x:c>
    </x:row>
    <x:row r="32">
      <x:c r="A32" s="17" t="str">
        <x:v>named|FR|ecard1-131</x:v>
      </x:c>
      <x:c r="B32" s="17" t="str">
        <x:v>Carte nommée Carapuce</x:v>
      </x:c>
      <x:c r="C32" s="17" t="str">
        <x:v>Pokémon TCG physique</x:v>
      </x:c>
      <x:c r="D32" s="17" t="str">
        <x:v>FR</x:v>
      </x:c>
      <x:c r="E32" s="17" t="str">
        <x:v>FR</x:v>
      </x:c>
      <x:c r="F32" s="18" t="str">
        <x:v>Carapuce</x:v>
      </x:c>
      <x:c r="G32" s="18" t="str">
        <x:v>Expedition</x:v>
      </x:c>
      <x:c r="H32" s="19" t="n">
        <x:v>2002</x:v>
      </x:c>
      <x:c r="I32" s="17" t="str">
        <x:v>131</x:v>
      </x:c>
      <x:c r="J32" s="17" t="str">
        <x:v>Commune</x:v>
      </x:c>
      <x:c r="K32" s="17" t="str">
        <x:v>normal, reverse</x:v>
      </x:c>
      <x:c r="L32" s="17" t="str">
        <x:v>Manquante</x:v>
      </x:c>
      <x:c r="M32" s="17" t="str">
        <x:v>Oui</x:v>
      </x:c>
      <x:c r="N32" s="17" t="str">
        <x:v>☐</x:v>
      </x:c>
      <x:c r="O32" s="17" t="str">
        <x:v>☐</x:v>
      </x:c>
      <x:c r="P32" s="17" t="str">
        <x:v>TCGdex</x:v>
      </x:c>
      <x:c r="Q32" s="17" t="str">
        <x:v>https://api.tcgdex.net/v2/fr/cards/ecard1-131</x:v>
      </x:c>
      <x:c r="R32" s="17" t="str">
        <x:v>https://assets.tcgdex.net/fr/ecard/ecard1/131/high.webp</x:v>
      </x:c>
      <x:c r="S32" s="17" t="str">
        <x:v>C:\Users\hugob\Documents\Projet codage perso\maison-de-carapuce\outputs\019fdbac-bcf2-77a2-b3c8-0e870f4e19fc\images-manquantes-finales\024_FR_Expedition_131_Carapuce.webp</x:v>
      </x:c>
      <x:c r="T32" s="18" t="str">
        <x:v>Une ligne par dessin/langue; impressions et stamps à éclater après contrôle humain</x:v>
      </x:c>
      <x:c r="U32" s="17" t="n">
        <x:v>1</x:v>
      </x:c>
    </x:row>
    <x:row r="33">
      <x:c r="A33" s="17" t="str">
        <x:v>named|FR|ecard1-132</x:v>
      </x:c>
      <x:c r="B33" s="17" t="str">
        <x:v>Carte nommée Carapuce</x:v>
      </x:c>
      <x:c r="C33" s="17" t="str">
        <x:v>Pokémon TCG physique</x:v>
      </x:c>
      <x:c r="D33" s="17" t="str">
        <x:v>FR</x:v>
      </x:c>
      <x:c r="E33" s="17" t="str">
        <x:v>FR</x:v>
      </x:c>
      <x:c r="F33" s="18" t="str">
        <x:v>Carapuce</x:v>
      </x:c>
      <x:c r="G33" s="18" t="str">
        <x:v>Expedition</x:v>
      </x:c>
      <x:c r="H33" s="19" t="n">
        <x:v>2002</x:v>
      </x:c>
      <x:c r="I33" s="17" t="str">
        <x:v>132</x:v>
      </x:c>
      <x:c r="J33" s="17" t="str">
        <x:v>Commune</x:v>
      </x:c>
      <x:c r="K33" s="17" t="str">
        <x:v>normal, reverse</x:v>
      </x:c>
      <x:c r="L33" s="17" t="str">
        <x:v>Manquante</x:v>
      </x:c>
      <x:c r="M33" s="17" t="str">
        <x:v>Oui</x:v>
      </x:c>
      <x:c r="N33" s="17" t="str">
        <x:v>☐</x:v>
      </x:c>
      <x:c r="O33" s="17" t="str">
        <x:v>☐</x:v>
      </x:c>
      <x:c r="P33" s="17" t="str">
        <x:v>TCGdex</x:v>
      </x:c>
      <x:c r="Q33" s="17" t="str">
        <x:v>https://api.tcgdex.net/v2/fr/cards/ecard1-132</x:v>
      </x:c>
      <x:c r="R33" s="17" t="str">
        <x:v>https://assets.tcgdex.net/fr/ecard/ecard1/132/high.webp</x:v>
      </x:c>
      <x:c r="S33" s="17" t="str">
        <x:v>C:\Users\hugob\Documents\Projet codage perso\maison-de-carapuce\outputs\019fdbac-bcf2-77a2-b3c8-0e870f4e19fc\images-manquantes-finales\025_FR_Expedition_132_Carapuce.webp</x:v>
      </x:c>
      <x:c r="T33" s="18" t="str">
        <x:v>Une ligne par dessin/langue; impressions et stamps à éclater après contrôle humain</x:v>
      </x:c>
      <x:c r="U33" s="17" t="n">
        <x:v>1</x:v>
      </x:c>
    </x:row>
    <x:row r="34">
      <x:c r="A34" s="17" t="str">
        <x:v>named|FR|ex6-82</x:v>
      </x:c>
      <x:c r="B34" s="17" t="str">
        <x:v>Carte nommée Carapuce</x:v>
      </x:c>
      <x:c r="C34" s="17" t="str">
        <x:v>Pokémon TCG physique</x:v>
      </x:c>
      <x:c r="D34" s="17" t="str">
        <x:v>FR</x:v>
      </x:c>
      <x:c r="E34" s="17" t="str">
        <x:v>FR</x:v>
      </x:c>
      <x:c r="F34" s="18" t="str">
        <x:v>Carapuce</x:v>
      </x:c>
      <x:c r="G34" s="18" t="str">
        <x:v>EX Rouge Feu &amp; Vert Feuille</x:v>
      </x:c>
      <x:c r="H34" s="19" t="n">
        <x:v>2004</x:v>
      </x:c>
      <x:c r="I34" s="17" t="str">
        <x:v>82</x:v>
      </x:c>
      <x:c r="J34" s="17" t="str">
        <x:v>Commune</x:v>
      </x:c>
      <x:c r="K34" s="17" t="str">
        <x:v>holo, normal</x:v>
      </x:c>
      <x:c r="L34" s="17" t="str">
        <x:v>Manquante</x:v>
      </x:c>
      <x:c r="M34" s="17" t="str">
        <x:v>Oui</x:v>
      </x:c>
      <x:c r="N34" s="17" t="str">
        <x:v>☐</x:v>
      </x:c>
      <x:c r="O34" s="17" t="str">
        <x:v>☐</x:v>
      </x:c>
      <x:c r="P34" s="17" t="str">
        <x:v>TCGdex</x:v>
      </x:c>
      <x:c r="Q34" s="17" t="str">
        <x:v>https://api.tcgdex.net/v2/fr/cards/ex6-82</x:v>
      </x:c>
      <x:c r="R34" s="17" t="str">
        <x:v>https://assets.tcgdex.net/fr/ex/ex6/82/high.webp</x:v>
      </x:c>
      <x:c r="S34" s="17" t="str">
        <x:v>C:\Users\hugob\Documents\Projet codage perso\maison-de-carapuce\outputs\019fdbac-bcf2-77a2-b3c8-0e870f4e19fc\images-manquantes-finales\020_FR_EX-Rouge-Feu-Vert-Feuille_82_Carapuce.webp</x:v>
      </x:c>
      <x:c r="T34" s="18" t="str">
        <x:v>Une ligne par dessin/langue; impressions et stamps à éclater après contrôle humain</x:v>
      </x:c>
      <x:c r="U34" s="17" t="n">
        <x:v>1</x:v>
      </x:c>
    </x:row>
    <x:row r="35">
      <x:c r="A35" s="17" t="str">
        <x:v>named|FR|ex6-83</x:v>
      </x:c>
      <x:c r="B35" s="17" t="str">
        <x:v>Carte nommée Carapuce</x:v>
      </x:c>
      <x:c r="C35" s="17" t="str">
        <x:v>Pokémon TCG physique</x:v>
      </x:c>
      <x:c r="D35" s="17" t="str">
        <x:v>FR</x:v>
      </x:c>
      <x:c r="E35" s="17" t="str">
        <x:v>FR</x:v>
      </x:c>
      <x:c r="F35" s="18" t="str">
        <x:v>Carapuce</x:v>
      </x:c>
      <x:c r="G35" s="18" t="str">
        <x:v>EX Rouge Feu &amp; Vert Feuille</x:v>
      </x:c>
      <x:c r="H35" s="19" t="n">
        <x:v>2004</x:v>
      </x:c>
      <x:c r="I35" s="17" t="str">
        <x:v>83</x:v>
      </x:c>
      <x:c r="J35" s="17" t="str">
        <x:v>Commune</x:v>
      </x:c>
      <x:c r="K35" s="17" t="str">
        <x:v>holo, normal</x:v>
      </x:c>
      <x:c r="L35" s="17" t="str">
        <x:v>Manquante</x:v>
      </x:c>
      <x:c r="M35" s="17" t="str">
        <x:v>Oui</x:v>
      </x:c>
      <x:c r="N35" s="17" t="str">
        <x:v>☐</x:v>
      </x:c>
      <x:c r="O35" s="17" t="str">
        <x:v>☐</x:v>
      </x:c>
      <x:c r="P35" s="17" t="str">
        <x:v>TCGdex</x:v>
      </x:c>
      <x:c r="Q35" s="17" t="str">
        <x:v>https://api.tcgdex.net/v2/fr/cards/ex6-83</x:v>
      </x:c>
      <x:c r="R35" s="17" t="str">
        <x:v>https://assets.tcgdex.net/fr/ex/ex6/83/high.webp</x:v>
      </x:c>
      <x:c r="S35" s="17" t="str">
        <x:v>C:\Users\hugob\Documents\Projet codage perso\maison-de-carapuce\outputs\019fdbac-bcf2-77a2-b3c8-0e870f4e19fc\images-manquantes-finales\021_FR_EX-Rouge-Feu-Vert-Feuille_83_Carapuce.webp</x:v>
      </x:c>
      <x:c r="T35" s="18" t="str">
        <x:v>Une ligne par dessin/langue; impressions et stamps à éclater après contrôle humain</x:v>
      </x:c>
      <x:c r="U35" s="17" t="n">
        <x:v>1</x:v>
      </x:c>
    </x:row>
    <x:row r="36">
      <x:c r="A36" s="17" t="str">
        <x:v>named|FR|ex4-46</x:v>
      </x:c>
      <x:c r="B36" s="17" t="str">
        <x:v>Carte nommée Carapuce</x:v>
      </x:c>
      <x:c r="C36" s="17" t="str">
        <x:v>Pokémon TCG physique</x:v>
      </x:c>
      <x:c r="D36" s="17" t="str">
        <x:v>FR</x:v>
      </x:c>
      <x:c r="E36" s="17" t="str">
        <x:v>FR</x:v>
      </x:c>
      <x:c r="F36" s="18" t="str">
        <x:v>Carapuce</x:v>
      </x:c>
      <x:c r="G36" s="18" t="str">
        <x:v>EX Team Magma vs Team Aqua</x:v>
      </x:c>
      <x:c r="H36" s="19" t="n">
        <x:v>2004</x:v>
      </x:c>
      <x:c r="I36" s="17" t="str">
        <x:v>46</x:v>
      </x:c>
      <x:c r="J36" s="17" t="str">
        <x:v>Commune</x:v>
      </x:c>
      <x:c r="K36" s="17" t="str">
        <x:v>normal, reverse</x:v>
      </x:c>
      <x:c r="L36" s="17" t="str">
        <x:v>Manquante</x:v>
      </x:c>
      <x:c r="M36" s="17" t="str">
        <x:v>Oui</x:v>
      </x:c>
      <x:c r="N36" s="17" t="str">
        <x:v>☐</x:v>
      </x:c>
      <x:c r="O36" s="17" t="str">
        <x:v>☐</x:v>
      </x:c>
      <x:c r="P36" s="17" t="str">
        <x:v>TCGdex</x:v>
      </x:c>
      <x:c r="Q36" s="17" t="str">
        <x:v>https://api.tcgdex.net/v2/fr/cards/ex4-46</x:v>
      </x:c>
      <x:c r="R36" s="17" t="str">
        <x:v>https://assets.tcgdex.net/fr/ex/ex4/46/high.webp</x:v>
      </x:c>
      <x:c r="S36" s="17" t="str">
        <x:v>C:\Users\hugob\Documents\Projet codage perso\maison-de-carapuce\outputs\019fdbac-bcf2-77a2-b3c8-0e870f4e19fc\images-manquantes-finales\013_FR_EX-Team-Magma-vs-Team-Aqua_46_Carapuce.webp</x:v>
      </x:c>
      <x:c r="T36" s="18" t="str">
        <x:v>Une ligne par dessin/langue; impressions et stamps à éclater après contrôle humain</x:v>
      </x:c>
      <x:c r="U36" s="17" t="n">
        <x:v>1</x:v>
      </x:c>
    </x:row>
    <x:row r="37">
      <x:c r="A37" s="17" t="str">
        <x:v>named|FR|ex14-63</x:v>
      </x:c>
      <x:c r="B37" s="17" t="str">
        <x:v>Carte nommée Carapuce</x:v>
      </x:c>
      <x:c r="C37" s="17" t="str">
        <x:v>Pokémon TCG physique</x:v>
      </x:c>
      <x:c r="D37" s="17" t="str">
        <x:v>FR</x:v>
      </x:c>
      <x:c r="E37" s="17" t="str">
        <x:v>FR</x:v>
      </x:c>
      <x:c r="F37" s="18" t="str">
        <x:v>Carapuce</x:v>
      </x:c>
      <x:c r="G37" s="18" t="str">
        <x:v>EX Gardiens de Cristal</x:v>
      </x:c>
      <x:c r="H37" s="19" t="n">
        <x:v>2006</x:v>
      </x:c>
      <x:c r="I37" s="17" t="str">
        <x:v>63</x:v>
      </x:c>
      <x:c r="J37" s="17" t="str">
        <x:v>Commune</x:v>
      </x:c>
      <x:c r="K37" s="17" t="str">
        <x:v>normal</x:v>
      </x:c>
      <x:c r="L37" s="17" t="str">
        <x:v>Manquante</x:v>
      </x:c>
      <x:c r="M37" s="17" t="str">
        <x:v>Oui</x:v>
      </x:c>
      <x:c r="N37" s="17" t="str">
        <x:v>☐</x:v>
      </x:c>
      <x:c r="O37" s="17" t="str">
        <x:v>☐</x:v>
      </x:c>
      <x:c r="P37" s="17" t="str">
        <x:v>TCGdex</x:v>
      </x:c>
      <x:c r="Q37" s="17" t="str">
        <x:v>https://api.tcgdex.net/v2/fr/cards/ex14-63</x:v>
      </x:c>
      <x:c r="R37" s="17" t="str">
        <x:v>https://assets.tcgdex.net/fr/ex/ex14/63/high.webp</x:v>
      </x:c>
      <x:c r="S37" s="17" t="str">
        <x:v>C:\Users\hugob\Documents\Projet codage perso\maison-de-carapuce\outputs\019fdbac-bcf2-77a2-b3c8-0e870f4e19fc\images-manquantes-finales\017_FR_EX-Gardiens-de-Cristal_63_Carapuce.webp</x:v>
      </x:c>
      <x:c r="T37" s="18" t="str">
        <x:v>Une ligne par dessin/langue; impressions et stamps à éclater après contrôle humain</x:v>
      </x:c>
      <x:c r="U37" s="17" t="n">
        <x:v>1</x:v>
      </x:c>
    </x:row>
    <x:row r="38">
      <x:c r="A38" s="17" t="str">
        <x:v>named|FR|ex14-64</x:v>
      </x:c>
      <x:c r="B38" s="17" t="str">
        <x:v>Carte nommée Carapuce</x:v>
      </x:c>
      <x:c r="C38" s="17" t="str">
        <x:v>Pokémon TCG physique</x:v>
      </x:c>
      <x:c r="D38" s="17" t="str">
        <x:v>FR</x:v>
      </x:c>
      <x:c r="E38" s="17" t="str">
        <x:v>FR</x:v>
      </x:c>
      <x:c r="F38" s="18" t="str">
        <x:v>Carapuce</x:v>
      </x:c>
      <x:c r="G38" s="18" t="str">
        <x:v>EX Gardiens de Cristal</x:v>
      </x:c>
      <x:c r="H38" s="19" t="n">
        <x:v>2006</x:v>
      </x:c>
      <x:c r="I38" s="17" t="str">
        <x:v>64</x:v>
      </x:c>
      <x:c r="J38" s="17" t="str">
        <x:v>Commune</x:v>
      </x:c>
      <x:c r="K38" s="17" t="str">
        <x:v>normal</x:v>
      </x:c>
      <x:c r="L38" s="17" t="str">
        <x:v>Manquante</x:v>
      </x:c>
      <x:c r="M38" s="17" t="str">
        <x:v>Oui</x:v>
      </x:c>
      <x:c r="N38" s="17" t="str">
        <x:v>☐</x:v>
      </x:c>
      <x:c r="O38" s="17" t="str">
        <x:v>☐</x:v>
      </x:c>
      <x:c r="P38" s="17" t="str">
        <x:v>TCGdex</x:v>
      </x:c>
      <x:c r="Q38" s="17" t="str">
        <x:v>https://api.tcgdex.net/v2/fr/cards/ex14-64</x:v>
      </x:c>
      <x:c r="R38" s="17" t="str">
        <x:v>https://assets.tcgdex.net/fr/ex/ex14/64/high.webp</x:v>
      </x:c>
      <x:c r="S38" s="17" t="str">
        <x:v>C:\Users\hugob\Documents\Projet codage perso\maison-de-carapuce\outputs\019fdbac-bcf2-77a2-b3c8-0e870f4e19fc\images-manquantes-finales\018_FR_EX-Gardiens-de-Cristal_64_Carapuce.webp</x:v>
      </x:c>
      <x:c r="T38" s="18" t="str">
        <x:v>Une ligne par dessin/langue; impressions et stamps à éclater après contrôle humain</x:v>
      </x:c>
      <x:c r="U38" s="17" t="n">
        <x:v>1</x:v>
      </x:c>
    </x:row>
    <x:row r="39">
      <x:c r="A39" s="17" t="str">
        <x:v>named|FR|pop4-14</x:v>
      </x:c>
      <x:c r="B39" s="17" t="str">
        <x:v>Carte nommée Carapuce</x:v>
      </x:c>
      <x:c r="C39" s="17" t="str">
        <x:v>Pokémon TCG physique</x:v>
      </x:c>
      <x:c r="D39" s="17" t="str">
        <x:v>FR</x:v>
      </x:c>
      <x:c r="E39" s="17" t="str">
        <x:v>FR</x:v>
      </x:c>
      <x:c r="F39" s="18" t="str">
        <x:v>Carapuce</x:v>
      </x:c>
      <x:c r="G39" s="18" t="str">
        <x:v>POP Série 4</x:v>
      </x:c>
      <x:c r="H39" s="19" t="n">
        <x:v>2006</x:v>
      </x:c>
      <x:c r="I39" s="17" t="str">
        <x:v>14</x:v>
      </x:c>
      <x:c r="J39" s="17" t="str">
        <x:v>Commune</x:v>
      </x:c>
      <x:c r="K39" s="17" t="str">
        <x:v>normal</x:v>
      </x:c>
      <x:c r="L39" s="17" t="str">
        <x:v>Manquante</x:v>
      </x:c>
      <x:c r="M39" s="17" t="str">
        <x:v>Oui</x:v>
      </x:c>
      <x:c r="N39" s="17" t="str">
        <x:v>☐</x:v>
      </x:c>
      <x:c r="O39" s="17" t="str">
        <x:v>☐</x:v>
      </x:c>
      <x:c r="P39" s="17" t="str">
        <x:v>TCGdex</x:v>
      </x:c>
      <x:c r="Q39" s="17" t="str">
        <x:v>https://api.tcgdex.net/v2/fr/cards/pop4-14</x:v>
      </x:c>
      <x:c r="R39" s="17" t="str">
        <x:v>https://assets.tcgdex.net/fr/pop/pop4/14/high.webp</x:v>
      </x:c>
      <x:c r="S39" s="17" t="str">
        <x:v>C:\Users\hugob\Documents\Projet codage perso\maison-de-carapuce\outputs\019fdbac-bcf2-77a2-b3c8-0e870f4e19fc\images-manquantes-finales\003_FR_POP-Serie-4_14_Carapuce.webp</x:v>
      </x:c>
      <x:c r="T39" s="18" t="str">
        <x:v>Une ligne par dessin/langue; impressions et stamps à éclater après contrôle humain</x:v>
      </x:c>
      <x:c r="U39" s="17" t="n">
        <x:v>1</x:v>
      </x:c>
    </x:row>
    <x:row r="40">
      <x:c r="A40" s="17" t="str">
        <x:v>named|FR|dp3-112</x:v>
      </x:c>
      <x:c r="B40" s="17" t="str">
        <x:v>Carte nommée Carapuce</x:v>
      </x:c>
      <x:c r="C40" s="17" t="str">
        <x:v>Pokémon TCG physique</x:v>
      </x:c>
      <x:c r="D40" s="17" t="str">
        <x:v>FR</x:v>
      </x:c>
      <x:c r="E40" s="17" t="str">
        <x:v>FR</x:v>
      </x:c>
      <x:c r="F40" s="18" t="str">
        <x:v>Carapuce</x:v>
      </x:c>
      <x:c r="G40" s="18" t="str">
        <x:v>Merveilles Secrètes</x:v>
      </x:c>
      <x:c r="H40" s="19" t="n">
        <x:v>2007</x:v>
      </x:c>
      <x:c r="I40" s="17" t="str">
        <x:v>112</x:v>
      </x:c>
      <x:c r="J40" s="17" t="str">
        <x:v>Commune</x:v>
      </x:c>
      <x:c r="K40" s="17" t="str">
        <x:v>normal, reverse</x:v>
      </x:c>
      <x:c r="L40" s="17" t="str">
        <x:v>Manquante</x:v>
      </x:c>
      <x:c r="M40" s="17" t="str">
        <x:v>Oui</x:v>
      </x:c>
      <x:c r="N40" s="17" t="str">
        <x:v>☐</x:v>
      </x:c>
      <x:c r="O40" s="17" t="str">
        <x:v>☐</x:v>
      </x:c>
      <x:c r="P40" s="17" t="str">
        <x:v>TCGdex</x:v>
      </x:c>
      <x:c r="Q40" s="17" t="str">
        <x:v>https://api.tcgdex.net/v2/fr/cards/dp3-112</x:v>
      </x:c>
      <x:c r="R40" s="17" t="str">
        <x:v>https://assets.tcgdex.net/fr/dp/dp3/112/high.webp</x:v>
      </x:c>
      <x:c r="S40" s="17" t="str">
        <x:v>C:\Users\hugob\Documents\Projet codage perso\maison-de-carapuce\outputs\019fdbac-bcf2-77a2-b3c8-0e870f4e19fc\images-manquantes-finales\023_FR_Merveilles-Secretes_112_Carapuce.webp</x:v>
      </x:c>
      <x:c r="T40" s="18" t="str">
        <x:v>Une ligne par dessin/langue; impressions et stamps à éclater après contrôle humain</x:v>
      </x:c>
      <x:c r="U40" s="17" t="n">
        <x:v>1</x:v>
      </x:c>
    </x:row>
    <x:row r="41">
      <x:c r="A41" s="17" t="str">
        <x:v>named|FR|pl1-96</x:v>
      </x:c>
      <x:c r="B41" s="17" t="str">
        <x:v>Carte nommée Carapuce</x:v>
      </x:c>
      <x:c r="C41" s="17" t="str">
        <x:v>Pokémon TCG physique</x:v>
      </x:c>
      <x:c r="D41" s="17" t="str">
        <x:v>FR</x:v>
      </x:c>
      <x:c r="E41" s="17" t="str">
        <x:v>FR</x:v>
      </x:c>
      <x:c r="F41" s="18" t="str">
        <x:v>Carapuce</x:v>
      </x:c>
      <x:c r="G41" s="18" t="str">
        <x:v>Platine</x:v>
      </x:c>
      <x:c r="H41" s="19" t="n">
        <x:v>2009</x:v>
      </x:c>
      <x:c r="I41" s="17" t="str">
        <x:v>96</x:v>
      </x:c>
      <x:c r="J41" s="17" t="str">
        <x:v>Commune</x:v>
      </x:c>
      <x:c r="K41" s="17" t="str">
        <x:v>normal, reverse</x:v>
      </x:c>
      <x:c r="L41" s="17" t="str">
        <x:v>Manquante</x:v>
      </x:c>
      <x:c r="M41" s="17" t="str">
        <x:v>Oui</x:v>
      </x:c>
      <x:c r="N41" s="17" t="str">
        <x:v>☐</x:v>
      </x:c>
      <x:c r="O41" s="17" t="str">
        <x:v>☐</x:v>
      </x:c>
      <x:c r="P41" s="17" t="str">
        <x:v>TCGdex</x:v>
      </x:c>
      <x:c r="Q41" s="17" t="str">
        <x:v>https://api.tcgdex.net/v2/fr/cards/pl1-96</x:v>
      </x:c>
      <x:c r="R41" s="17" t="str">
        <x:v>https://assets.tcgdex.net/fr/pl/pl1/96/high.webp</x:v>
      </x:c>
      <x:c r="S41" s="17" t="str">
        <x:v>C:\Users\hugob\Documents\Projet codage perso\maison-de-carapuce\outputs\019fdbac-bcf2-77a2-b3c8-0e870f4e19fc\images-manquantes-finales\022_FR_Platine_96_Carapuce.webp</x:v>
      </x:c>
      <x:c r="T41" s="18" t="str">
        <x:v>Une ligne par dessin/langue; impressions et stamps à éclater après contrôle humain</x:v>
      </x:c>
      <x:c r="U41" s="17" t="n">
        <x:v>1</x:v>
      </x:c>
    </x:row>
    <x:row r="42">
      <x:c r="A42" s="17" t="str">
        <x:v>named|FR|hgss2-63</x:v>
      </x:c>
      <x:c r="B42" s="17" t="str">
        <x:v>Carte nommée Carapuce</x:v>
      </x:c>
      <x:c r="C42" s="17" t="str">
        <x:v>Pokémon TCG physique</x:v>
      </x:c>
      <x:c r="D42" s="17" t="str">
        <x:v>FR</x:v>
      </x:c>
      <x:c r="E42" s="17" t="str">
        <x:v>FR</x:v>
      </x:c>
      <x:c r="F42" s="18" t="str">
        <x:v>Carapuce</x:v>
      </x:c>
      <x:c r="G42" s="18" t="str">
        <x:v>Déchaînement</x:v>
      </x:c>
      <x:c r="H42" s="19" t="n">
        <x:v>2010</x:v>
      </x:c>
      <x:c r="I42" s="17" t="str">
        <x:v>63</x:v>
      </x:c>
      <x:c r="J42" s="17" t="str">
        <x:v>Commune</x:v>
      </x:c>
      <x:c r="K42" s="17" t="str">
        <x:v>normal, reverse</x:v>
      </x:c>
      <x:c r="L42" s="17" t="str">
        <x:v>Manquante</x:v>
      </x:c>
      <x:c r="M42" s="17" t="str">
        <x:v>Oui</x:v>
      </x:c>
      <x:c r="N42" s="17" t="str">
        <x:v>☐</x:v>
      </x:c>
      <x:c r="O42" s="17" t="str">
        <x:v>☐</x:v>
      </x:c>
      <x:c r="P42" s="17" t="str">
        <x:v>TCGdex</x:v>
      </x:c>
      <x:c r="Q42" s="17" t="str">
        <x:v>https://api.tcgdex.net/v2/fr/cards/hgss2-63</x:v>
      </x:c>
      <x:c r="R42" s="17" t="str">
        <x:v>https://assets.tcgdex.net/fr/hgss/hgss2/63/high.webp</x:v>
      </x:c>
      <x:c r="S42" s="17" t="str">
        <x:v>C:\Users\hugob\Documents\Projet codage perso\maison-de-carapuce\outputs\019fdbac-bcf2-77a2-b3c8-0e870f4e19fc\images-manquantes-finales\016_FR_Dechainement_63_Carapuce.webp</x:v>
      </x:c>
      <x:c r="T42" s="18" t="str">
        <x:v>Une ligne par dessin/langue; impressions et stamps à éclater après contrôle humain</x:v>
      </x:c>
      <x:c r="U42" s="17" t="n">
        <x:v>1</x:v>
      </x:c>
    </x:row>
    <x:row r="43">
      <x:c r="A43" s="17" t="str">
        <x:v>named|FR|bw7-29</x:v>
      </x:c>
      <x:c r="B43" s="17" t="str">
        <x:v>Carte nommée Carapuce</x:v>
      </x:c>
      <x:c r="C43" s="17" t="str">
        <x:v>Pokémon TCG physique</x:v>
      </x:c>
      <x:c r="D43" s="17" t="str">
        <x:v>FR</x:v>
      </x:c>
      <x:c r="E43" s="17" t="str">
        <x:v>FR</x:v>
      </x:c>
      <x:c r="F43" s="18" t="str">
        <x:v>Carapuce</x:v>
      </x:c>
      <x:c r="G43" s="18" t="str">
        <x:v>Frontières Franchies</x:v>
      </x:c>
      <x:c r="H43" s="19" t="n">
        <x:v>2012</x:v>
      </x:c>
      <x:c r="I43" s="17" t="str">
        <x:v>29</x:v>
      </x:c>
      <x:c r="J43" s="17" t="str">
        <x:v>Commune</x:v>
      </x:c>
      <x:c r="K43" s="17" t="str">
        <x:v>normal</x:v>
      </x:c>
      <x:c r="L43" s="17" t="str">
        <x:v>Manquante</x:v>
      </x:c>
      <x:c r="M43" s="17" t="str">
        <x:v>Oui</x:v>
      </x:c>
      <x:c r="N43" s="17" t="str">
        <x:v>☐</x:v>
      </x:c>
      <x:c r="O43" s="17" t="str">
        <x:v>☐</x:v>
      </x:c>
      <x:c r="P43" s="17" t="str">
        <x:v>TCGdex</x:v>
      </x:c>
      <x:c r="Q43" s="17" t="str">
        <x:v>https://api.tcgdex.net/v2/fr/cards/bw7-29</x:v>
      </x:c>
      <x:c r="R43" s="17" t="str">
        <x:v>https://assets.tcgdex.net/fr/bw/bw7/29/high.webp</x:v>
      </x:c>
      <x:c r="S43" s="17" t="str">
        <x:v>C:\Users\hugob\Documents\Projet codage perso\maison-de-carapuce\outputs\019fdbac-bcf2-77a2-b3c8-0e870f4e19fc\images-manquantes-finales\010_FR_Frontieres-Franchies_29_Carapuce.webp</x:v>
      </x:c>
      <x:c r="T43" s="18" t="str">
        <x:v>Une ligne par dessin/langue; impressions et stamps à éclater après contrôle humain</x:v>
      </x:c>
      <x:c r="U43" s="17" t="n">
        <x:v>1</x:v>
      </x:c>
    </x:row>
    <x:row r="44">
      <x:c r="A44" s="17" t="str">
        <x:v>named|FR|bw10-14</x:v>
      </x:c>
      <x:c r="B44" s="17" t="str">
        <x:v>Carte nommée Carapuce</x:v>
      </x:c>
      <x:c r="C44" s="17" t="str">
        <x:v>Pokémon TCG physique</x:v>
      </x:c>
      <x:c r="D44" s="17" t="str">
        <x:v>FR</x:v>
      </x:c>
      <x:c r="E44" s="17" t="str">
        <x:v>FR</x:v>
      </x:c>
      <x:c r="F44" s="18" t="str">
        <x:v>Carapuce</x:v>
      </x:c>
      <x:c r="G44" s="18" t="str">
        <x:v>Explosion Plasma</x:v>
      </x:c>
      <x:c r="H44" s="19" t="n">
        <x:v>2013</x:v>
      </x:c>
      <x:c r="I44" s="17" t="str">
        <x:v>14</x:v>
      </x:c>
      <x:c r="J44" s="17" t="str">
        <x:v>Commune</x:v>
      </x:c>
      <x:c r="K44" s="17" t="str">
        <x:v>normal</x:v>
      </x:c>
      <x:c r="L44" s="17" t="str">
        <x:v>Manquante</x:v>
      </x:c>
      <x:c r="M44" s="17" t="str">
        <x:v>Oui</x:v>
      </x:c>
      <x:c r="N44" s="17" t="str">
        <x:v>☐</x:v>
      </x:c>
      <x:c r="O44" s="17" t="str">
        <x:v>☐</x:v>
      </x:c>
      <x:c r="P44" s="17" t="str">
        <x:v>TCGdex</x:v>
      </x:c>
      <x:c r="Q44" s="17" t="str">
        <x:v>https://api.tcgdex.net/v2/fr/cards/bw10-14</x:v>
      </x:c>
      <x:c r="R44" s="17" t="str">
        <x:v>https://assets.tcgdex.net/fr/bw/bw10/14/high.webp</x:v>
      </x:c>
      <x:c r="S44" s="17" t="str">
        <x:v>C:\Users\hugob\Documents\Projet codage perso\maison-de-carapuce\outputs\019fdbac-bcf2-77a2-b3c8-0e870f4e19fc\images-manquantes-finales\004_FR_Explosion-Plasma_14_Carapuce.webp</x:v>
      </x:c>
      <x:c r="T44" s="18" t="str">
        <x:v>Une ligne par dessin/langue; impressions et stamps à éclater après contrôle humain</x:v>
      </x:c>
      <x:c r="U44" s="17" t="n">
        <x:v>1</x:v>
      </x:c>
    </x:row>
    <x:row r="45">
      <x:c r="A45" s="17" t="str">
        <x:v>named|FR|bw8-24</x:v>
      </x:c>
      <x:c r="B45" s="17" t="str">
        <x:v>Carte nommée Carapuce</x:v>
      </x:c>
      <x:c r="C45" s="17" t="str">
        <x:v>Pokémon TCG physique</x:v>
      </x:c>
      <x:c r="D45" s="17" t="str">
        <x:v>FR</x:v>
      </x:c>
      <x:c r="E45" s="17" t="str">
        <x:v>FR</x:v>
      </x:c>
      <x:c r="F45" s="18" t="str">
        <x:v>Carapuce</x:v>
      </x:c>
      <x:c r="G45" s="18" t="str">
        <x:v>Tempète Plasma</x:v>
      </x:c>
      <x:c r="H45" s="19" t="n">
        <x:v>2013</x:v>
      </x:c>
      <x:c r="I45" s="17" t="str">
        <x:v>24</x:v>
      </x:c>
      <x:c r="J45" s="17" t="str">
        <x:v>Commune</x:v>
      </x:c>
      <x:c r="K45" s="17" t="str">
        <x:v>normal</x:v>
      </x:c>
      <x:c r="L45" s="17" t="str">
        <x:v>Manquante</x:v>
      </x:c>
      <x:c r="M45" s="17" t="str">
        <x:v>Oui</x:v>
      </x:c>
      <x:c r="N45" s="17" t="str">
        <x:v>☐</x:v>
      </x:c>
      <x:c r="O45" s="17" t="str">
        <x:v>☐</x:v>
      </x:c>
      <x:c r="P45" s="17" t="str">
        <x:v>TCGdex</x:v>
      </x:c>
      <x:c r="Q45" s="17" t="str">
        <x:v>https://api.tcgdex.net/v2/fr/cards/bw8-24</x:v>
      </x:c>
      <x:c r="R45" s="17" t="str">
        <x:v>https://assets.tcgdex.net/fr/bw/bw8/24/high.webp</x:v>
      </x:c>
      <x:c r="S45" s="17" t="str">
        <x:v>C:\Users\hugob\Documents\Projet codage perso\maison-de-carapuce\outputs\019fdbac-bcf2-77a2-b3c8-0e870f4e19fc\images-manquantes-finales\009_FR_Tempete-Plasma_24_Carapuce.webp</x:v>
      </x:c>
      <x:c r="T45" s="18" t="str">
        <x:v>Une ligne par dessin/langue; impressions et stamps à éclater après contrôle humain</x:v>
      </x:c>
      <x:c r="U45" s="17" t="n">
        <x:v>1</x:v>
      </x:c>
    </x:row>
    <x:row r="46">
      <x:c r="A46" s="17" t="str">
        <x:v>named|FR|sm10-33</x:v>
      </x:c>
      <x:c r="B46" s="17" t="str">
        <x:v>Carte nommée Carapuce</x:v>
      </x:c>
      <x:c r="C46" s="17" t="str">
        <x:v>Pokémon TCG physique</x:v>
      </x:c>
      <x:c r="D46" s="17" t="str">
        <x:v>FR</x:v>
      </x:c>
      <x:c r="E46" s="17" t="str">
        <x:v>FR</x:v>
      </x:c>
      <x:c r="F46" s="18" t="str">
        <x:v>Carapuce</x:v>
      </x:c>
      <x:c r="G46" s="18" t="str">
        <x:v>Alliance Infaillible</x:v>
      </x:c>
      <x:c r="H46" s="19" t="n">
        <x:v>2019</x:v>
      </x:c>
      <x:c r="I46" s="17" t="str">
        <x:v>33</x:v>
      </x:c>
      <x:c r="J46" s="17" t="str">
        <x:v>Commune</x:v>
      </x:c>
      <x:c r="K46" s="17" t="str">
        <x:v>normal</x:v>
      </x:c>
      <x:c r="L46" s="17" t="str">
        <x:v>Manquante</x:v>
      </x:c>
      <x:c r="M46" s="17" t="str">
        <x:v>Oui</x:v>
      </x:c>
      <x:c r="N46" s="17" t="str">
        <x:v>☐</x:v>
      </x:c>
      <x:c r="O46" s="17" t="str">
        <x:v>☐</x:v>
      </x:c>
      <x:c r="P46" s="17" t="str">
        <x:v>TCGdex</x:v>
      </x:c>
      <x:c r="Q46" s="17" t="str">
        <x:v>https://api.tcgdex.net/v2/fr/cards/sm10-33</x:v>
      </x:c>
      <x:c r="R46" s="17" t="str">
        <x:v>https://assets.tcgdex.net/fr/sm/sm10/33/high.webp</x:v>
      </x:c>
      <x:c r="S46" s="17" t="str">
        <x:v>C:\Users\hugob\Documents\Projet codage perso\maison-de-carapuce\outputs\019fdbac-bcf2-77a2-b3c8-0e870f4e19fc\images-manquantes-finales\011_FR_Alliance-Infaillible_33_Carapuce.webp</x:v>
      </x:c>
      <x:c r="T46" s="18" t="str">
        <x:v>Une ligne par dessin/langue; impressions et stamps à éclater après contrôle humain</x:v>
      </x:c>
      <x:c r="U46" s="17" t="n">
        <x:v>1</x:v>
      </x:c>
    </x:row>
    <x:row r="47">
      <x:c r="A47" s="17" t="str">
        <x:v>named|FR|sm9-22</x:v>
      </x:c>
      <x:c r="B47" s="17" t="str">
        <x:v>Carte nommée Carapuce</x:v>
      </x:c>
      <x:c r="C47" s="17" t="str">
        <x:v>Pokémon TCG physique</x:v>
      </x:c>
      <x:c r="D47" s="17" t="str">
        <x:v>FR</x:v>
      </x:c>
      <x:c r="E47" s="17" t="str">
        <x:v>FR</x:v>
      </x:c>
      <x:c r="F47" s="18" t="str">
        <x:v>Carapuce</x:v>
      </x:c>
      <x:c r="G47" s="18" t="str">
        <x:v>Duo de Choc</x:v>
      </x:c>
      <x:c r="H47" s="19" t="n">
        <x:v>2019</x:v>
      </x:c>
      <x:c r="I47" s="17" t="str">
        <x:v>22</x:v>
      </x:c>
      <x:c r="J47" s="17" t="str">
        <x:v>Commune</x:v>
      </x:c>
      <x:c r="K47" s="17" t="str">
        <x:v>normal</x:v>
      </x:c>
      <x:c r="L47" s="17" t="str">
        <x:v>Manquante</x:v>
      </x:c>
      <x:c r="M47" s="17" t="str">
        <x:v>Oui</x:v>
      </x:c>
      <x:c r="N47" s="17" t="str">
        <x:v>☐</x:v>
      </x:c>
      <x:c r="O47" s="17" t="str">
        <x:v>☐</x:v>
      </x:c>
      <x:c r="P47" s="17" t="str">
        <x:v>TCGdex</x:v>
      </x:c>
      <x:c r="Q47" s="17" t="str">
        <x:v>https://api.tcgdex.net/v2/fr/cards/sm9-22</x:v>
      </x:c>
      <x:c r="R47" s="17" t="str">
        <x:v>https://assets.tcgdex.net/fr/sm/sm9/22/high.webp</x:v>
      </x:c>
      <x:c r="S47" s="17" t="str">
        <x:v>C:\Users\hugob\Documents\Projet codage perso\maison-de-carapuce\outputs\019fdbac-bcf2-77a2-b3c8-0e870f4e19fc\images-manquantes-finales\007_FR_Duo-de-Choc_22_Carapuce.webp</x:v>
      </x:c>
      <x:c r="T47" s="18" t="str">
        <x:v>Une ligne par dessin/langue; impressions et stamps à éclater après contrôle humain</x:v>
      </x:c>
      <x:c r="U47" s="17" t="n">
        <x:v>1</x:v>
      </x:c>
    </x:row>
    <x:row r="48">
      <x:c r="A48" s="17" t="str">
        <x:v>named|FR|sm9-23</x:v>
      </x:c>
      <x:c r="B48" s="17" t="str">
        <x:v>Carte nommée Carapuce</x:v>
      </x:c>
      <x:c r="C48" s="17" t="str">
        <x:v>Pokémon TCG physique</x:v>
      </x:c>
      <x:c r="D48" s="17" t="str">
        <x:v>FR</x:v>
      </x:c>
      <x:c r="E48" s="17" t="str">
        <x:v>FR</x:v>
      </x:c>
      <x:c r="F48" s="18" t="str">
        <x:v>Carapuce</x:v>
      </x:c>
      <x:c r="G48" s="18" t="str">
        <x:v>Duo de Choc</x:v>
      </x:c>
      <x:c r="H48" s="19" t="n">
        <x:v>2019</x:v>
      </x:c>
      <x:c r="I48" s="17" t="str">
        <x:v>23</x:v>
      </x:c>
      <x:c r="J48" s="17" t="str">
        <x:v>Commune</x:v>
      </x:c>
      <x:c r="K48" s="17" t="str">
        <x:v>normal</x:v>
      </x:c>
      <x:c r="L48" s="17" t="str">
        <x:v>Manquante</x:v>
      </x:c>
      <x:c r="M48" s="17" t="str">
        <x:v>Oui</x:v>
      </x:c>
      <x:c r="N48" s="17" t="str">
        <x:v>☐</x:v>
      </x:c>
      <x:c r="O48" s="17" t="str">
        <x:v>☐</x:v>
      </x:c>
      <x:c r="P48" s="17" t="str">
        <x:v>TCGdex</x:v>
      </x:c>
      <x:c r="Q48" s="17" t="str">
        <x:v>https://api.tcgdex.net/v2/fr/cards/sm9-23</x:v>
      </x:c>
      <x:c r="R48" s="17" t="str">
        <x:v>https://assets.tcgdex.net/fr/sm/sm9/23/high.webp</x:v>
      </x:c>
      <x:c r="S48" s="17" t="str">
        <x:v>C:\Users\hugob\Documents\Projet codage perso\maison-de-carapuce\outputs\019fdbac-bcf2-77a2-b3c8-0e870f4e19fc\images-manquantes-finales\008_FR_Duo-de-Choc_23_Carapuce.webp</x:v>
      </x:c>
      <x:c r="T48" s="18" t="str">
        <x:v>Une ligne par dessin/langue; impressions et stamps à éclater après contrôle humain</x:v>
      </x:c>
      <x:c r="U48" s="17" t="n">
        <x:v>1</x:v>
      </x:c>
    </x:row>
    <x:row r="49">
      <x:c r="A49" s="17" t="str">
        <x:v>named|FR|swshp-SWSH233</x:v>
      </x:c>
      <x:c r="B49" s="17" t="str">
        <x:v>Carte nommée Carapuce</x:v>
      </x:c>
      <x:c r="C49" s="17" t="str">
        <x:v>Pokémon TCG physique</x:v>
      </x:c>
      <x:c r="D49" s="17" t="str">
        <x:v>FR</x:v>
      </x:c>
      <x:c r="E49" s="17" t="str">
        <x:v>FR</x:v>
      </x:c>
      <x:c r="F49" s="18" t="str">
        <x:v>Carapuce</x:v>
      </x:c>
      <x:c r="G49" s="18" t="str">
        <x:v>Promo SWSH</x:v>
      </x:c>
      <x:c r="H49" s="19" t="n">
        <x:v>2019</x:v>
      </x:c>
      <x:c r="I49" s="17" t="str">
        <x:v>SWSH233</x:v>
      </x:c>
      <x:c r="J49" s="17" t="str">
        <x:v>Promo</x:v>
      </x:c>
      <x:c r="K49" s="17" t="str">
        <x:v>normal</x:v>
      </x:c>
      <x:c r="L49" s="17" t="str">
        <x:v>Manquante</x:v>
      </x:c>
      <x:c r="M49" s="17" t="str">
        <x:v>Oui</x:v>
      </x:c>
      <x:c r="N49" s="17" t="str">
        <x:v>☐</x:v>
      </x:c>
      <x:c r="O49" s="17" t="str">
        <x:v>☐</x:v>
      </x:c>
      <x:c r="P49" s="17" t="str">
        <x:v>TCGdex</x:v>
      </x:c>
      <x:c r="Q49" s="17" t="str">
        <x:v>https://api.tcgdex.net/v2/fr/cards/swshp-SWSH233</x:v>
      </x:c>
      <x:c r="R49" s="17" t="str">
        <x:v>https://assets.tcgdex.net/fr/swsh/swshp/SWSH233/high.webp</x:v>
      </x:c>
      <x:c r="S49" s="17" t="str">
        <x:v>C:\Users\hugob\Documents\Projet codage perso\maison-de-carapuce\outputs\019fdbac-bcf2-77a2-b3c8-0e870f4e19fc\images-manquantes-finales\028_FR_Promo-SWSH_SWSH233_Carapuce.webp</x:v>
      </x:c>
      <x:c r="T49" s="18" t="str">
        <x:v>Une ligne par dessin/langue; impressions et stamps à éclater après contrôle humain</x:v>
      </x:c>
      <x:c r="U49" s="17" t="n">
        <x:v>1</x:v>
      </x:c>
    </x:row>
    <x:row r="50">
      <x:c r="A50" s="17" t="str">
        <x:v>named|FR|2021swsh-17</x:v>
      </x:c>
      <x:c r="B50" s="17" t="str">
        <x:v>Carte nommée Carapuce</x:v>
      </x:c>
      <x:c r="C50" s="17" t="str">
        <x:v>Pokémon TCG physique</x:v>
      </x:c>
      <x:c r="D50" s="17" t="str">
        <x:v>FR</x:v>
      </x:c>
      <x:c r="E50" s="17" t="str">
        <x:v>FR</x:v>
      </x:c>
      <x:c r="F50" s="18" t="str">
        <x:v>Carapuce</x:v>
      </x:c>
      <x:c r="G50" s="18" t="str">
        <x:v>Collection McDonald's 2021</x:v>
      </x:c>
      <x:c r="H50" s="19" t="n">
        <x:v>2021</x:v>
      </x:c>
      <x:c r="I50" s="17" t="str">
        <x:v>17</x:v>
      </x:c>
      <x:c r="J50" s="17" t="str">
        <x:v>Sans Rareté</x:v>
      </x:c>
      <x:c r="K50" s="17" t="str">
        <x:v>holo, normal</x:v>
      </x:c>
      <x:c r="L50" s="17" t="str">
        <x:v>Manquante</x:v>
      </x:c>
      <x:c r="M50" s="17" t="str">
        <x:v>Non</x:v>
      </x:c>
      <x:c r="N50" s="17" t="str">
        <x:v>☐</x:v>
      </x:c>
      <x:c r="O50" s="17" t="str">
        <x:v>☐</x:v>
      </x:c>
      <x:c r="P50" s="17" t="str">
        <x:v>TCGdex</x:v>
      </x:c>
      <x:c r="Q50" s="17" t="str">
        <x:v>https://api.tcgdex.net/v2/fr/cards/2021swsh-17</x:v>
      </x:c>
      <x:c r="R50" s="17"/>
      <x:c r="S50" s="17"/>
      <x:c r="T50" s="18" t="str">
        <x:v>Une ligne par dessin/langue; impressions et stamps à éclater après contrôle humain</x:v>
      </x:c>
      <x:c r="U50" s="17" t="n">
        <x:v>1</x:v>
      </x:c>
    </x:row>
    <x:row r="51">
      <x:c r="A51" s="17" t="str">
        <x:v>named|FR|swsh10.5-015</x:v>
      </x:c>
      <x:c r="B51" s="17" t="str">
        <x:v>Carte nommée Carapuce</x:v>
      </x:c>
      <x:c r="C51" s="17" t="str">
        <x:v>Pokémon TCG physique</x:v>
      </x:c>
      <x:c r="D51" s="17" t="str">
        <x:v>FR</x:v>
      </x:c>
      <x:c r="E51" s="17" t="str">
        <x:v>FR</x:v>
      </x:c>
      <x:c r="F51" s="18" t="str">
        <x:v>Carapuce</x:v>
      </x:c>
      <x:c r="G51" s="18" t="str">
        <x:v>Pokémon GO</x:v>
      </x:c>
      <x:c r="H51" s="19" t="n">
        <x:v>2022</x:v>
      </x:c>
      <x:c r="I51" s="17" t="str">
        <x:v>015</x:v>
      </x:c>
      <x:c r="J51" s="17" t="str">
        <x:v>Commune</x:v>
      </x:c>
      <x:c r="K51" s="17" t="str">
        <x:v>normal, reverse</x:v>
      </x:c>
      <x:c r="L51" s="17" t="str">
        <x:v>Manquante</x:v>
      </x:c>
      <x:c r="M51" s="17" t="str">
        <x:v>Oui</x:v>
      </x:c>
      <x:c r="N51" s="17" t="str">
        <x:v>☐</x:v>
      </x:c>
      <x:c r="O51" s="17" t="str">
        <x:v>☐</x:v>
      </x:c>
      <x:c r="P51" s="17" t="str">
        <x:v>TCGdex</x:v>
      </x:c>
      <x:c r="Q51" s="17" t="str">
        <x:v>https://api.tcgdex.net/v2/fr/cards/swsh10.5-015</x:v>
      </x:c>
      <x:c r="R51" s="17" t="str">
        <x:v>https://assets.tcgdex.net/fr/swsh/swsh10.5/015/high.webp</x:v>
      </x:c>
      <x:c r="S51" s="17" t="str">
        <x:v>C:\Users\hugob\Documents\Projet codage perso\maison-de-carapuce\outputs\019fdbac-bcf2-77a2-b3c8-0e870f4e19fc\images-manquantes-finales\005_FR_Pokemon-GO_015_Carapuce.webp</x:v>
      </x:c>
      <x:c r="T51" s="18" t="str">
        <x:v>Une ligne par dessin/langue; impressions et stamps à éclater après contrôle humain</x:v>
      </x:c>
      <x:c r="U51" s="17" t="n">
        <x:v>1</x:v>
      </x:c>
    </x:row>
    <x:row r="52">
      <x:c r="A52" s="17" t="str">
        <x:v>named|FR|sv03.5-007</x:v>
      </x:c>
      <x:c r="B52" s="17" t="str">
        <x:v>Carte nommée Carapuce</x:v>
      </x:c>
      <x:c r="C52" s="17" t="str">
        <x:v>Pokémon TCG physique</x:v>
      </x:c>
      <x:c r="D52" s="17" t="str">
        <x:v>FR</x:v>
      </x:c>
      <x:c r="E52" s="17" t="str">
        <x:v>FR</x:v>
      </x:c>
      <x:c r="F52" s="18" t="str">
        <x:v>Carapuce</x:v>
      </x:c>
      <x:c r="G52" s="18" t="str">
        <x:v>151</x:v>
      </x:c>
      <x:c r="H52" s="19" t="n">
        <x:v>2023</x:v>
      </x:c>
      <x:c r="I52" s="17" t="str">
        <x:v>007</x:v>
      </x:c>
      <x:c r="J52" s="17" t="str">
        <x:v>Commune</x:v>
      </x:c>
      <x:c r="K52" s="17" t="str">
        <x:v>normal, reverse</x:v>
      </x:c>
      <x:c r="L52" s="17" t="str">
        <x:v>Manquante</x:v>
      </x:c>
      <x:c r="M52" s="17" t="str">
        <x:v>Oui</x:v>
      </x:c>
      <x:c r="N52" s="17" t="str">
        <x:v>☐</x:v>
      </x:c>
      <x:c r="O52" s="17" t="str">
        <x:v>☐</x:v>
      </x:c>
      <x:c r="P52" s="17" t="str">
        <x:v>TCGdex</x:v>
      </x:c>
      <x:c r="Q52" s="17" t="str">
        <x:v>https://api.tcgdex.net/v2/fr/cards/sv03.5-007</x:v>
      </x:c>
      <x:c r="R52" s="17" t="str">
        <x:v>https://assets.tcgdex.net/fr/sv/sv03.5/007/high.webp</x:v>
      </x:c>
      <x:c r="S52" s="17" t="str">
        <x:v>C:\Users\hugob\Documents\Projet codage perso\maison-de-carapuce\outputs\019fdbac-bcf2-77a2-b3c8-0e870f4e19fc\images-manquantes-finales\002_FR_151_007_Carapuce.webp</x:v>
      </x:c>
      <x:c r="T52" s="18" t="str">
        <x:v>Une ligne par dessin/langue; impressions et stamps à éclater après contrôle humain</x:v>
      </x:c>
      <x:c r="U52" s="17" t="n">
        <x:v>1</x:v>
      </x:c>
    </x:row>
    <x:row r="53">
      <x:c r="A53" s="17" t="str">
        <x:v>named|FR|sv03.5-170</x:v>
      </x:c>
      <x:c r="B53" s="17" t="str">
        <x:v>Carte nommée Carapuce</x:v>
      </x:c>
      <x:c r="C53" s="17" t="str">
        <x:v>Pokémon TCG physique</x:v>
      </x:c>
      <x:c r="D53" s="17" t="str">
        <x:v>FR</x:v>
      </x:c>
      <x:c r="E53" s="17" t="str">
        <x:v>FR</x:v>
      </x:c>
      <x:c r="F53" s="18" t="str">
        <x:v>Carapuce</x:v>
      </x:c>
      <x:c r="G53" s="18" t="str">
        <x:v>151</x:v>
      </x:c>
      <x:c r="H53" s="19" t="n">
        <x:v>2023</x:v>
      </x:c>
      <x:c r="I53" s="17" t="str">
        <x:v>170</x:v>
      </x:c>
      <x:c r="J53" s="17" t="str">
        <x:v>Illustration rare</x:v>
      </x:c>
      <x:c r="K53" s="17" t="str">
        <x:v>holo</x:v>
      </x:c>
      <x:c r="L53" s="17" t="str">
        <x:v>Manquante</x:v>
      </x:c>
      <x:c r="M53" s="17" t="str">
        <x:v>Oui</x:v>
      </x:c>
      <x:c r="N53" s="17" t="str">
        <x:v>☐</x:v>
      </x:c>
      <x:c r="O53" s="17" t="str">
        <x:v>☐</x:v>
      </x:c>
      <x:c r="P53" s="17" t="str">
        <x:v>TCGdex</x:v>
      </x:c>
      <x:c r="Q53" s="17" t="str">
        <x:v>https://api.tcgdex.net/v2/fr/cards/sv03.5-170</x:v>
      </x:c>
      <x:c r="R53" s="17" t="str">
        <x:v>https://assets.tcgdex.net/fr/sv/sv03.5/170/high.webp</x:v>
      </x:c>
      <x:c r="S53" s="17" t="str">
        <x:v>C:\Users\hugob\Documents\Projet codage perso\maison-de-carapuce\outputs\019fdbac-bcf2-77a2-b3c8-0e870f4e19fc\images-manquantes-finales\027_FR_151_170_Carapuce.webp</x:v>
      </x:c>
      <x:c r="T53" s="18" t="str">
        <x:v>Une ligne par dessin/langue; impressions et stamps à éclater après contrôle humain</x:v>
      </x:c>
      <x:c r="U53" s="17" t="n">
        <x:v>1</x:v>
      </x:c>
    </x:row>
    <x:row r="54">
      <x:c r="A54" s="17" t="str">
        <x:v>named|FR|svp-048</x:v>
      </x:c>
      <x:c r="B54" s="17" t="str">
        <x:v>Carte nommée Carapuce</x:v>
      </x:c>
      <x:c r="C54" s="17" t="str">
        <x:v>Pokémon TCG physique</x:v>
      </x:c>
      <x:c r="D54" s="17" t="str">
        <x:v>FR</x:v>
      </x:c>
      <x:c r="E54" s="17" t="str">
        <x:v>FR</x:v>
      </x:c>
      <x:c r="F54" s="18" t="str">
        <x:v>Carapuce</x:v>
      </x:c>
      <x:c r="G54" s="18" t="str">
        <x:v>SVP Black Star Promos</x:v>
      </x:c>
      <x:c r="H54" s="19" t="n">
        <x:v>2023</x:v>
      </x:c>
      <x:c r="I54" s="17" t="str">
        <x:v>048</x:v>
      </x:c>
      <x:c r="J54" s="17" t="str">
        <x:v>Promo</x:v>
      </x:c>
      <x:c r="K54" s="17" t="str">
        <x:v>holo</x:v>
      </x:c>
      <x:c r="L54" s="17" t="str">
        <x:v>Manquante</x:v>
      </x:c>
      <x:c r="M54" s="17" t="str">
        <x:v>Oui</x:v>
      </x:c>
      <x:c r="N54" s="17" t="str">
        <x:v>☐</x:v>
      </x:c>
      <x:c r="O54" s="17" t="str">
        <x:v>☐</x:v>
      </x:c>
      <x:c r="P54" s="17" t="str">
        <x:v>TCGdex</x:v>
      </x:c>
      <x:c r="Q54" s="17" t="str">
        <x:v>https://api.tcgdex.net/v2/fr/cards/svp-048</x:v>
      </x:c>
      <x:c r="R54" s="17" t="str">
        <x:v>https://assets.tcgdex.net/fr/sv/svp/048/high.webp</x:v>
      </x:c>
      <x:c r="S54" s="17" t="str">
        <x:v>C:\Users\hugob\Documents\Projet codage perso\maison-de-carapuce\outputs\019fdbac-bcf2-77a2-b3c8-0e870f4e19fc\images-manquantes-finales\014_FR_SVP-Black-Star-Promos_048_Carapuce.webp</x:v>
      </x:c>
      <x:c r="T54" s="18" t="str">
        <x:v>Une ligne par dessin/langue; impressions et stamps à éclater après contrôle humain</x:v>
      </x:c>
      <x:c r="U54" s="17" t="n">
        <x:v>1</x:v>
      </x:c>
    </x:row>
    <x:row r="55">
      <x:c r="A55" s="17" t="str">
        <x:v>named|FR|sv07-148</x:v>
      </x:c>
      <x:c r="B55" s="17" t="str">
        <x:v>Carte nommée Carapuce</x:v>
      </x:c>
      <x:c r="C55" s="17" t="str">
        <x:v>Pokémon TCG physique</x:v>
      </x:c>
      <x:c r="D55" s="17" t="str">
        <x:v>FR</x:v>
      </x:c>
      <x:c r="E55" s="17" t="str">
        <x:v>FR</x:v>
      </x:c>
      <x:c r="F55" s="18" t="str">
        <x:v>Carapuce</x:v>
      </x:c>
      <x:c r="G55" s="18" t="str">
        <x:v>Couronne Stellaire</x:v>
      </x:c>
      <x:c r="H55" s="19" t="n">
        <x:v>2024</x:v>
      </x:c>
      <x:c r="I55" s="17" t="str">
        <x:v>148</x:v>
      </x:c>
      <x:c r="J55" s="17" t="str">
        <x:v>Illustration rare</x:v>
      </x:c>
      <x:c r="K55" s="17" t="str">
        <x:v>holo</x:v>
      </x:c>
      <x:c r="L55" s="17" t="str">
        <x:v>Manquante</x:v>
      </x:c>
      <x:c r="M55" s="17" t="str">
        <x:v>Oui</x:v>
      </x:c>
      <x:c r="N55" s="17" t="str">
        <x:v>☐</x:v>
      </x:c>
      <x:c r="O55" s="17" t="str">
        <x:v>☐</x:v>
      </x:c>
      <x:c r="P55" s="17" t="str">
        <x:v>TCGdex</x:v>
      </x:c>
      <x:c r="Q55" s="17" t="str">
        <x:v>https://api.tcgdex.net/v2/fr/cards/sv07-148</x:v>
      </x:c>
      <x:c r="R55" s="17" t="str">
        <x:v>https://assets.tcgdex.net/fr/sv/sv07/148/high.webp</x:v>
      </x:c>
      <x:c r="S55" s="17" t="str">
        <x:v>C:\Users\hugob\Documents\Projet codage perso\maison-de-carapuce\outputs\019fdbac-bcf2-77a2-b3c8-0e870f4e19fc\images-manquantes-finales\026_FR_Couronne-Stellaire_148_Carapuce.webp</x:v>
      </x:c>
      <x:c r="T55" s="18" t="str">
        <x:v>Une ligne par dessin/langue; impressions et stamps à éclater après contrôle humain</x:v>
      </x:c>
      <x:c r="U55" s="17" t="n">
        <x:v>1</x:v>
      </x:c>
    </x:row>
    <x:row r="56">
      <x:c r="A56" s="17" t="str">
        <x:v>named|FR|mep-039</x:v>
      </x:c>
      <x:c r="B56" s="17" t="str">
        <x:v>Carte nommée Carapuce</x:v>
      </x:c>
      <x:c r="C56" s="17" t="str">
        <x:v>Pokémon TCG physique</x:v>
      </x:c>
      <x:c r="D56" s="17" t="str">
        <x:v>FR</x:v>
      </x:c>
      <x:c r="E56" s="17" t="str">
        <x:v>FR</x:v>
      </x:c>
      <x:c r="F56" s="18" t="str">
        <x:v>Carapuce</x:v>
      </x:c>
      <x:c r="G56" s="18" t="str">
        <x:v>MEP Black Star Promos</x:v>
      </x:c>
      <x:c r="H56" s="19" t="n">
        <x:v>2025</x:v>
      </x:c>
      <x:c r="I56" s="17" t="str">
        <x:v>039</x:v>
      </x:c>
      <x:c r="J56" s="17" t="str">
        <x:v>Promo</x:v>
      </x:c>
      <x:c r="K56" s="17" t="str">
        <x:v>holo</x:v>
      </x:c>
      <x:c r="L56" s="17" t="str">
        <x:v>Manquante</x:v>
      </x:c>
      <x:c r="M56" s="17" t="str">
        <x:v>Oui</x:v>
      </x:c>
      <x:c r="N56" s="17" t="str">
        <x:v>☐</x:v>
      </x:c>
      <x:c r="O56" s="17" t="str">
        <x:v>☐</x:v>
      </x:c>
      <x:c r="P56" s="17" t="str">
        <x:v>TCGdex</x:v>
      </x:c>
      <x:c r="Q56" s="17" t="str">
        <x:v>https://api.tcgdex.net/v2/fr/cards/mep-039</x:v>
      </x:c>
      <x:c r="R56" s="17" t="str">
        <x:v>https://pokecardex-scans.b-cdn.net/sets/MEP/FR/39.jpg?class=hd</x:v>
      </x:c>
      <x:c r="S56" s="17" t="str">
        <x:v>C:\Users\hugob\Documents\Projet codage perso\maison-de-carapuce\outputs\019fdbac-bcf2-77a2-b3c8-0e870f4e19fc\images-manquantes-finales\012_FR_MEP-Black-Star-Promos_039_Carapuce.webp</x:v>
      </x:c>
      <x:c r="T56" s="18" t="str">
        <x:v>Une ligne par dessin/langue; impressions et stamps à éclater après contrôle humain; scan PokéCardex disponible</x:v>
      </x:c>
      <x:c r="U56" s="17" t="n">
        <x:v>1</x:v>
      </x:c>
    </x:row>
    <x:row r="57">
      <x:c r="A57" s="17" t="str">
        <x:v>named|ID|SV2a-007</x:v>
      </x:c>
      <x:c r="B57" s="17" t="str">
        <x:v>Carte nommée Carapuce</x:v>
      </x:c>
      <x:c r="C57" s="17" t="str">
        <x:v>Pokémon TCG physique</x:v>
      </x:c>
      <x:c r="D57" s="17" t="str">
        <x:v>ID</x:v>
      </x:c>
      <x:c r="E57" s="17" t="str">
        <x:v>ID</x:v>
      </x:c>
      <x:c r="F57" s="18" t="str">
        <x:v>Squirtle</x:v>
      </x:c>
      <x:c r="G57" s="18" t="str">
        <x:v>Kartu Pokémon 151</x:v>
      </x:c>
      <x:c r="H57" s="19" t="n">
        <x:v>2023</x:v>
      </x:c>
      <x:c r="I57" s="17" t="str">
        <x:v>007</x:v>
      </x:c>
      <x:c r="J57" s="17" t="str">
        <x:v>Common</x:v>
      </x:c>
      <x:c r="K57" s="17" t="str">
        <x:v>normal</x:v>
      </x:c>
      <x:c r="L57" s="17" t="str">
        <x:v>Manquante</x:v>
      </x:c>
      <x:c r="M57" s="17" t="str">
        <x:v>Oui</x:v>
      </x:c>
      <x:c r="N57" s="17" t="str">
        <x:v>☐</x:v>
      </x:c>
      <x:c r="O57" s="17" t="str">
        <x:v>☐</x:v>
      </x:c>
      <x:c r="P57" s="17" t="str">
        <x:v>TCGdex</x:v>
      </x:c>
      <x:c r="Q57" s="17" t="str">
        <x:v>https://api.tcgdex.net/v2/id/cards/SV2a-007</x:v>
      </x:c>
      <x:c r="R57" s="17" t="str">
        <x:v>https://assets.tcgdex.net/id/SV/SV2a/007/high.webp</x:v>
      </x:c>
      <x:c r="S57" s="17" t="str">
        <x:v>C:\Users\hugob\Documents\Projet codage perso\maison-de-carapuce\outputs\019fdbac-bcf2-77a2-b3c8-0e870f4e19fc\images-manquantes-finales\070_ID_Kartu-Pokemon-151_007_Squirtle.webp</x:v>
      </x:c>
      <x:c r="T57" s="18" t="str">
        <x:v>Une ligne par dessin/langue; impressions et stamps à éclater après contrôle humain</x:v>
      </x:c>
      <x:c r="U57" s="17" t="n">
        <x:v>1</x:v>
      </x:c>
    </x:row>
    <x:row r="58">
      <x:c r="A58" s="17" t="str">
        <x:v>named|ID|SV2a-170</x:v>
      </x:c>
      <x:c r="B58" s="17" t="str">
        <x:v>Carte nommée Carapuce</x:v>
      </x:c>
      <x:c r="C58" s="17" t="str">
        <x:v>Pokémon TCG physique</x:v>
      </x:c>
      <x:c r="D58" s="17" t="str">
        <x:v>ID</x:v>
      </x:c>
      <x:c r="E58" s="17" t="str">
        <x:v>ID</x:v>
      </x:c>
      <x:c r="F58" s="18" t="str">
        <x:v>Squirtle</x:v>
      </x:c>
      <x:c r="G58" s="18" t="str">
        <x:v>Kartu Pokémon 151</x:v>
      </x:c>
      <x:c r="H58" s="19" t="n">
        <x:v>2023</x:v>
      </x:c>
      <x:c r="I58" s="17" t="str">
        <x:v>170</x:v>
      </x:c>
      <x:c r="J58" s="17" t="str"/>
      <x:c r="K58" s="17" t="str">
        <x:v>normal</x:v>
      </x:c>
      <x:c r="L58" s="17" t="str">
        <x:v>Manquante</x:v>
      </x:c>
      <x:c r="M58" s="17" t="str">
        <x:v>Non</x:v>
      </x:c>
      <x:c r="N58" s="17" t="str">
        <x:v>☐</x:v>
      </x:c>
      <x:c r="O58" s="17" t="str">
        <x:v>☐</x:v>
      </x:c>
      <x:c r="P58" s="17" t="str">
        <x:v>TCGdex</x:v>
      </x:c>
      <x:c r="Q58" s="17" t="str">
        <x:v>https://api.tcgdex.net/v2/id/cards/SV2a-170</x:v>
      </x:c>
      <x:c r="R58" s="17"/>
      <x:c r="S58" s="17"/>
      <x:c r="T58" s="18" t="str">
        <x:v>Une ligne par dessin/langue; impressions et stamps à éclater après contrôle humain</x:v>
      </x:c>
      <x:c r="U58" s="17" t="n">
        <x:v>1</x:v>
      </x:c>
    </x:row>
    <x:row r="59">
      <x:c r="A59" s="17" t="str">
        <x:v>named|IT|base1-63</x:v>
      </x:c>
      <x:c r="B59" s="17" t="str">
        <x:v>Carte nommée Carapuce</x:v>
      </x:c>
      <x:c r="C59" s="17" t="str">
        <x:v>Pokémon TCG physique</x:v>
      </x:c>
      <x:c r="D59" s="17" t="str">
        <x:v>IT</x:v>
      </x:c>
      <x:c r="E59" s="17" t="str">
        <x:v>IT</x:v>
      </x:c>
      <x:c r="F59" s="18" t="str">
        <x:v>Squirtle</x:v>
      </x:c>
      <x:c r="G59" s="18" t="str">
        <x:v>Set Base</x:v>
      </x:c>
      <x:c r="H59" s="19" t="n">
        <x:v>1999</x:v>
      </x:c>
      <x:c r="I59" s="17" t="str">
        <x:v>63</x:v>
      </x:c>
      <x:c r="J59" s="17" t="str">
        <x:v>Comune</x:v>
      </x:c>
      <x:c r="K59" s="17" t="str">
        <x:v>firstEdition, normal</x:v>
      </x:c>
      <x:c r="L59" s="17" t="str">
        <x:v>Manquante</x:v>
      </x:c>
      <x:c r="M59" s="17" t="str">
        <x:v>Non</x:v>
      </x:c>
      <x:c r="N59" s="17" t="str">
        <x:v>☐</x:v>
      </x:c>
      <x:c r="O59" s="17" t="str">
        <x:v>☐</x:v>
      </x:c>
      <x:c r="P59" s="17" t="str">
        <x:v>TCGdex</x:v>
      </x:c>
      <x:c r="Q59" s="17" t="str">
        <x:v>https://api.tcgdex.net/v2/it/cards/base1-63</x:v>
      </x:c>
      <x:c r="R59" s="17"/>
      <x:c r="S59" s="17"/>
      <x:c r="T59" s="18" t="str">
        <x:v>Une ligne par dessin/langue; impressions et stamps à éclater après contrôle humain</x:v>
      </x:c>
      <x:c r="U59" s="17" t="n">
        <x:v>1</x:v>
      </x:c>
    </x:row>
    <x:row r="60">
      <x:c r="A60" s="17" t="str">
        <x:v>named|IT|bw7-29</x:v>
      </x:c>
      <x:c r="B60" s="17" t="str">
        <x:v>Carte nommée Carapuce</x:v>
      </x:c>
      <x:c r="C60" s="17" t="str">
        <x:v>Pokémon TCG physique</x:v>
      </x:c>
      <x:c r="D60" s="17" t="str">
        <x:v>IT</x:v>
      </x:c>
      <x:c r="E60" s="17" t="str">
        <x:v>IT</x:v>
      </x:c>
      <x:c r="F60" s="18" t="str">
        <x:v>Squirtle</x:v>
      </x:c>
      <x:c r="G60" s="18" t="str">
        <x:v>Confini Varcati</x:v>
      </x:c>
      <x:c r="H60" s="19" t="n">
        <x:v>2012</x:v>
      </x:c>
      <x:c r="I60" s="17" t="str">
        <x:v>29</x:v>
      </x:c>
      <x:c r="J60" s="17" t="str">
        <x:v>Comune</x:v>
      </x:c>
      <x:c r="K60" s="17" t="str">
        <x:v>normal</x:v>
      </x:c>
      <x:c r="L60" s="17" t="str">
        <x:v>Manquante</x:v>
      </x:c>
      <x:c r="M60" s="17" t="str">
        <x:v>Oui</x:v>
      </x:c>
      <x:c r="N60" s="17" t="str">
        <x:v>☐</x:v>
      </x:c>
      <x:c r="O60" s="17" t="str">
        <x:v>☐</x:v>
      </x:c>
      <x:c r="P60" s="17" t="str">
        <x:v>TCGdex</x:v>
      </x:c>
      <x:c r="Q60" s="17" t="str">
        <x:v>https://api.tcgdex.net/v2/it/cards/bw7-29</x:v>
      </x:c>
      <x:c r="R60" s="17" t="str">
        <x:v>https://assets.tcgdex.net/it/bw/bw7/29/high.webp</x:v>
      </x:c>
      <x:c r="S60" s="17" t="str">
        <x:v>C:\Users\hugob\Documents\Projet codage perso\maison-de-carapuce\outputs\019fdbac-bcf2-77a2-b3c8-0e870f4e19fc\images-manquantes-finales\046_IT_Confini-Varcati_29_Squirtle.webp</x:v>
      </x:c>
      <x:c r="T60" s="18" t="str">
        <x:v>Une ligne par dessin/langue; impressions et stamps à éclater après contrôle humain</x:v>
      </x:c>
      <x:c r="U60" s="17" t="n">
        <x:v>1</x:v>
      </x:c>
    </x:row>
    <x:row r="61">
      <x:c r="A61" s="17" t="str">
        <x:v>named|IT|bw8-24</x:v>
      </x:c>
      <x:c r="B61" s="17" t="str">
        <x:v>Carte nommée Carapuce</x:v>
      </x:c>
      <x:c r="C61" s="17" t="str">
        <x:v>Pokémon TCG physique</x:v>
      </x:c>
      <x:c r="D61" s="17" t="str">
        <x:v>IT</x:v>
      </x:c>
      <x:c r="E61" s="17" t="str">
        <x:v>IT</x:v>
      </x:c>
      <x:c r="F61" s="18" t="str">
        <x:v>Squirtle</x:v>
      </x:c>
      <x:c r="G61" s="18" t="str">
        <x:v>Uragano Plasma</x:v>
      </x:c>
      <x:c r="H61" s="19" t="n">
        <x:v>2013</x:v>
      </x:c>
      <x:c r="I61" s="17" t="str">
        <x:v>24</x:v>
      </x:c>
      <x:c r="J61" s="17" t="str">
        <x:v>Comune</x:v>
      </x:c>
      <x:c r="K61" s="17" t="str">
        <x:v>normal</x:v>
      </x:c>
      <x:c r="L61" s="17" t="str">
        <x:v>Manquante</x:v>
      </x:c>
      <x:c r="M61" s="17" t="str">
        <x:v>Oui</x:v>
      </x:c>
      <x:c r="N61" s="17" t="str">
        <x:v>☐</x:v>
      </x:c>
      <x:c r="O61" s="17" t="str">
        <x:v>☐</x:v>
      </x:c>
      <x:c r="P61" s="17" t="str">
        <x:v>TCGdex</x:v>
      </x:c>
      <x:c r="Q61" s="17" t="str">
        <x:v>https://api.tcgdex.net/v2/it/cards/bw8-24</x:v>
      </x:c>
      <x:c r="R61" s="17" t="str">
        <x:v>https://assets.tcgdex.net/it/bw/bw8/24/high.webp</x:v>
      </x:c>
      <x:c r="S61" s="17" t="str">
        <x:v>C:\Users\hugob\Documents\Projet codage perso\maison-de-carapuce\outputs\019fdbac-bcf2-77a2-b3c8-0e870f4e19fc\images-manquantes-finales\045_IT_Uragano-Plasma_24_Squirtle.webp</x:v>
      </x:c>
      <x:c r="T61" s="18" t="str">
        <x:v>Une ligne par dessin/langue; impressions et stamps à éclater après contrôle humain</x:v>
      </x:c>
      <x:c r="U61" s="17" t="n">
        <x:v>1</x:v>
      </x:c>
    </x:row>
    <x:row r="62">
      <x:c r="A62" s="17" t="str">
        <x:v>named|IT|sm9-22</x:v>
      </x:c>
      <x:c r="B62" s="17" t="str">
        <x:v>Carte nommée Carapuce</x:v>
      </x:c>
      <x:c r="C62" s="17" t="str">
        <x:v>Pokémon TCG physique</x:v>
      </x:c>
      <x:c r="D62" s="17" t="str">
        <x:v>IT</x:v>
      </x:c>
      <x:c r="E62" s="17" t="str">
        <x:v>IT</x:v>
      </x:c>
      <x:c r="F62" s="18" t="str">
        <x:v>Squirtle</x:v>
      </x:c>
      <x:c r="G62" s="18" t="str">
        <x:v>Gioco di Squadra</x:v>
      </x:c>
      <x:c r="H62" s="19" t="n">
        <x:v>2019</x:v>
      </x:c>
      <x:c r="I62" s="17" t="str">
        <x:v>22</x:v>
      </x:c>
      <x:c r="J62" s="17" t="str">
        <x:v>Comune</x:v>
      </x:c>
      <x:c r="K62" s="17" t="str">
        <x:v>normal</x:v>
      </x:c>
      <x:c r="L62" s="17" t="str">
        <x:v>Manquante</x:v>
      </x:c>
      <x:c r="M62" s="17" t="str">
        <x:v>Oui</x:v>
      </x:c>
      <x:c r="N62" s="17" t="str">
        <x:v>☐</x:v>
      </x:c>
      <x:c r="O62" s="17" t="str">
        <x:v>☐</x:v>
      </x:c>
      <x:c r="P62" s="17" t="str">
        <x:v>TCGdex</x:v>
      </x:c>
      <x:c r="Q62" s="17" t="str">
        <x:v>https://api.tcgdex.net/v2/it/cards/sm9-22</x:v>
      </x:c>
      <x:c r="R62" s="17" t="str">
        <x:v>https://assets.tcgdex.net/it/sm/sm9/22/high.webp</x:v>
      </x:c>
      <x:c r="S62" s="17" t="str">
        <x:v>C:\Users\hugob\Documents\Projet codage perso\maison-de-carapuce\outputs\019fdbac-bcf2-77a2-b3c8-0e870f4e19fc\images-manquantes-finales\043_IT_Gioco-di-Squadra_22_Squirtle.webp</x:v>
      </x:c>
      <x:c r="T62" s="18" t="str">
        <x:v>Une ligne par dessin/langue; impressions et stamps à éclater après contrôle humain</x:v>
      </x:c>
      <x:c r="U62" s="17" t="n">
        <x:v>1</x:v>
      </x:c>
    </x:row>
    <x:row r="63">
      <x:c r="A63" s="17" t="str">
        <x:v>named|IT|sm9-23</x:v>
      </x:c>
      <x:c r="B63" s="17" t="str">
        <x:v>Carte nommée Carapuce</x:v>
      </x:c>
      <x:c r="C63" s="17" t="str">
        <x:v>Pokémon TCG physique</x:v>
      </x:c>
      <x:c r="D63" s="17" t="str">
        <x:v>IT</x:v>
      </x:c>
      <x:c r="E63" s="17" t="str">
        <x:v>IT</x:v>
      </x:c>
      <x:c r="F63" s="18" t="str">
        <x:v>Squirtle</x:v>
      </x:c>
      <x:c r="G63" s="18" t="str">
        <x:v>Gioco di Squadra</x:v>
      </x:c>
      <x:c r="H63" s="19" t="n">
        <x:v>2019</x:v>
      </x:c>
      <x:c r="I63" s="17" t="str">
        <x:v>23</x:v>
      </x:c>
      <x:c r="J63" s="17" t="str">
        <x:v>Comune</x:v>
      </x:c>
      <x:c r="K63" s="17" t="str">
        <x:v>normal</x:v>
      </x:c>
      <x:c r="L63" s="17" t="str">
        <x:v>Manquante</x:v>
      </x:c>
      <x:c r="M63" s="17" t="str">
        <x:v>Oui</x:v>
      </x:c>
      <x:c r="N63" s="17" t="str">
        <x:v>☐</x:v>
      </x:c>
      <x:c r="O63" s="17" t="str">
        <x:v>☐</x:v>
      </x:c>
      <x:c r="P63" s="17" t="str">
        <x:v>TCGdex</x:v>
      </x:c>
      <x:c r="Q63" s="17" t="str">
        <x:v>https://api.tcgdex.net/v2/it/cards/sm9-23</x:v>
      </x:c>
      <x:c r="R63" s="17" t="str">
        <x:v>https://assets.tcgdex.net/it/sm/sm9/23/high.webp</x:v>
      </x:c>
      <x:c r="S63" s="17" t="str">
        <x:v>C:\Users\hugob\Documents\Projet codage perso\maison-de-carapuce\outputs\019fdbac-bcf2-77a2-b3c8-0e870f4e19fc\images-manquantes-finales\044_IT_Gioco-di-Squadra_23_Squirtle.webp</x:v>
      </x:c>
      <x:c r="T63" s="18" t="str">
        <x:v>Une ligne par dessin/langue; impressions et stamps à éclater après contrôle humain</x:v>
      </x:c>
      <x:c r="U63" s="17" t="n">
        <x:v>1</x:v>
      </x:c>
    </x:row>
    <x:row r="64">
      <x:c r="A64" s="17" t="str">
        <x:v>named|IT|sm10-33</x:v>
      </x:c>
      <x:c r="B64" s="17" t="str">
        <x:v>Carte nommée Carapuce</x:v>
      </x:c>
      <x:c r="C64" s="17" t="str">
        <x:v>Pokémon TCG physique</x:v>
      </x:c>
      <x:c r="D64" s="17" t="str">
        <x:v>IT</x:v>
      </x:c>
      <x:c r="E64" s="17" t="str">
        <x:v>IT</x:v>
      </x:c>
      <x:c r="F64" s="18" t="str">
        <x:v>Squirtle</x:v>
      </x:c>
      <x:c r="G64" s="18" t="str">
        <x:v>Legami Inossidabili</x:v>
      </x:c>
      <x:c r="H64" s="19" t="n">
        <x:v>2019</x:v>
      </x:c>
      <x:c r="I64" s="17" t="str">
        <x:v>33</x:v>
      </x:c>
      <x:c r="J64" s="17" t="str">
        <x:v>Comune</x:v>
      </x:c>
      <x:c r="K64" s="17" t="str">
        <x:v>normal</x:v>
      </x:c>
      <x:c r="L64" s="17" t="str">
        <x:v>Manquante</x:v>
      </x:c>
      <x:c r="M64" s="17" t="str">
        <x:v>Oui</x:v>
      </x:c>
      <x:c r="N64" s="17" t="str">
        <x:v>☐</x:v>
      </x:c>
      <x:c r="O64" s="17" t="str">
        <x:v>☐</x:v>
      </x:c>
      <x:c r="P64" s="17" t="str">
        <x:v>TCGdex</x:v>
      </x:c>
      <x:c r="Q64" s="17" t="str">
        <x:v>https://api.tcgdex.net/v2/it/cards/sm10-33</x:v>
      </x:c>
      <x:c r="R64" s="17" t="str">
        <x:v>https://assets.tcgdex.net/it/sm/sm10/33/high.webp</x:v>
      </x:c>
      <x:c r="S64" s="17" t="str">
        <x:v>C:\Users\hugob\Documents\Projet codage perso\maison-de-carapuce\outputs\019fdbac-bcf2-77a2-b3c8-0e870f4e19fc\images-manquantes-finales\047_IT_Legami-Inossidabili_33_Squirtle.webp</x:v>
      </x:c>
      <x:c r="T64" s="18" t="str">
        <x:v>Une ligne par dessin/langue; impressions et stamps à éclater après contrôle humain</x:v>
      </x:c>
      <x:c r="U64" s="17" t="n">
        <x:v>1</x:v>
      </x:c>
    </x:row>
    <x:row r="65">
      <x:c r="A65" s="17" t="str">
        <x:v>named|IT|swshp-SWSH233</x:v>
      </x:c>
      <x:c r="B65" s="17" t="str">
        <x:v>Carte nommée Carapuce</x:v>
      </x:c>
      <x:c r="C65" s="17" t="str">
        <x:v>Pokémon TCG physique</x:v>
      </x:c>
      <x:c r="D65" s="17" t="str">
        <x:v>IT</x:v>
      </x:c>
      <x:c r="E65" s="17" t="str">
        <x:v>IT</x:v>
      </x:c>
      <x:c r="F65" s="18" t="str">
        <x:v>Squirtle</x:v>
      </x:c>
      <x:c r="G65" s="18" t="str">
        <x:v>SPSC Promo</x:v>
      </x:c>
      <x:c r="H65" s="19" t="n">
        <x:v>2019</x:v>
      </x:c>
      <x:c r="I65" s="17" t="str">
        <x:v>SWSH233</x:v>
      </x:c>
      <x:c r="J65" s="17" t="str">
        <x:v>Promo</x:v>
      </x:c>
      <x:c r="K65" s="17" t="str">
        <x:v>normal</x:v>
      </x:c>
      <x:c r="L65" s="17" t="str">
        <x:v>Manquante</x:v>
      </x:c>
      <x:c r="M65" s="17" t="str">
        <x:v>Oui</x:v>
      </x:c>
      <x:c r="N65" s="17" t="str">
        <x:v>☐</x:v>
      </x:c>
      <x:c r="O65" s="17" t="str">
        <x:v>☐</x:v>
      </x:c>
      <x:c r="P65" s="17" t="str">
        <x:v>TCGdex</x:v>
      </x:c>
      <x:c r="Q65" s="17" t="str">
        <x:v>https://api.tcgdex.net/v2/it/cards/swshp-SWSH233</x:v>
      </x:c>
      <x:c r="R65" s="17" t="str">
        <x:v>https://assets.tcgdex.net/it/swsh/swshp/SWSH233/high.webp</x:v>
      </x:c>
      <x:c r="S65" s="17" t="str">
        <x:v>C:\Users\hugob\Documents\Projet codage perso\maison-de-carapuce\outputs\019fdbac-bcf2-77a2-b3c8-0e870f4e19fc\images-manquantes-finales\053_IT_SPSC-Promo_SWSH233_Squirtle.webp</x:v>
      </x:c>
      <x:c r="T65" s="18" t="str">
        <x:v>Une ligne par dessin/langue; impressions et stamps à éclater après contrôle humain</x:v>
      </x:c>
      <x:c r="U65" s="17" t="n">
        <x:v>1</x:v>
      </x:c>
    </x:row>
    <x:row r="66">
      <x:c r="A66" s="17" t="str">
        <x:v>named|IT|swsh10.5-015</x:v>
      </x:c>
      <x:c r="B66" s="17" t="str">
        <x:v>Carte nommée Carapuce</x:v>
      </x:c>
      <x:c r="C66" s="17" t="str">
        <x:v>Pokémon TCG physique</x:v>
      </x:c>
      <x:c r="D66" s="17" t="str">
        <x:v>IT</x:v>
      </x:c>
      <x:c r="E66" s="17" t="str">
        <x:v>IT</x:v>
      </x:c>
      <x:c r="F66" s="18" t="str">
        <x:v>Squirtle</x:v>
      </x:c>
      <x:c r="G66" s="18" t="str">
        <x:v>Pokémon GO</x:v>
      </x:c>
      <x:c r="H66" s="19" t="n">
        <x:v>2022</x:v>
      </x:c>
      <x:c r="I66" s="17" t="str">
        <x:v>015</x:v>
      </x:c>
      <x:c r="J66" s="17" t="str">
        <x:v>Comune</x:v>
      </x:c>
      <x:c r="K66" s="17" t="str">
        <x:v>normal, reverse</x:v>
      </x:c>
      <x:c r="L66" s="17" t="str">
        <x:v>Manquante</x:v>
      </x:c>
      <x:c r="M66" s="17" t="str">
        <x:v>Oui</x:v>
      </x:c>
      <x:c r="N66" s="17" t="str">
        <x:v>☐</x:v>
      </x:c>
      <x:c r="O66" s="17" t="str">
        <x:v>☐</x:v>
      </x:c>
      <x:c r="P66" s="17" t="str">
        <x:v>TCGdex</x:v>
      </x:c>
      <x:c r="Q66" s="17" t="str">
        <x:v>https://api.tcgdex.net/v2/it/cards/swsh10.5-015</x:v>
      </x:c>
      <x:c r="R66" s="17" t="str">
        <x:v>https://assets.tcgdex.net/it/swsh/swsh10.5/015/high.webp</x:v>
      </x:c>
      <x:c r="S66" s="17" t="str">
        <x:v>C:\Users\hugob\Documents\Projet codage perso\maison-de-carapuce\outputs\019fdbac-bcf2-77a2-b3c8-0e870f4e19fc\images-manquantes-finales\042_IT_Pokemon-GO_015_Squirtle.webp</x:v>
      </x:c>
      <x:c r="T66" s="18" t="str">
        <x:v>Une ligne par dessin/langue; impressions et stamps à éclater après contrôle humain</x:v>
      </x:c>
      <x:c r="U66" s="17" t="n">
        <x:v>1</x:v>
      </x:c>
    </x:row>
    <x:row r="67">
      <x:c r="A67" s="17" t="str">
        <x:v>named|IT|sv03.5-007</x:v>
      </x:c>
      <x:c r="B67" s="17" t="str">
        <x:v>Carte nommée Carapuce</x:v>
      </x:c>
      <x:c r="C67" s="17" t="str">
        <x:v>Pokémon TCG physique</x:v>
      </x:c>
      <x:c r="D67" s="17" t="str">
        <x:v>IT</x:v>
      </x:c>
      <x:c r="E67" s="17" t="str">
        <x:v>IT</x:v>
      </x:c>
      <x:c r="F67" s="18" t="str">
        <x:v>Squirtle</x:v>
      </x:c>
      <x:c r="G67" s="18" t="str">
        <x:v>151</x:v>
      </x:c>
      <x:c r="H67" s="19" t="n">
        <x:v>2023</x:v>
      </x:c>
      <x:c r="I67" s="17" t="str">
        <x:v>007</x:v>
      </x:c>
      <x:c r="J67" s="17" t="str">
        <x:v>Comune</x:v>
      </x:c>
      <x:c r="K67" s="17" t="str">
        <x:v>normal, reverse</x:v>
      </x:c>
      <x:c r="L67" s="17" t="str">
        <x:v>Manquante</x:v>
      </x:c>
      <x:c r="M67" s="17" t="str">
        <x:v>Oui</x:v>
      </x:c>
      <x:c r="N67" s="17" t="str">
        <x:v>☐</x:v>
      </x:c>
      <x:c r="O67" s="17" t="str">
        <x:v>☐</x:v>
      </x:c>
      <x:c r="P67" s="17" t="str">
        <x:v>TCGdex</x:v>
      </x:c>
      <x:c r="Q67" s="17" t="str">
        <x:v>https://api.tcgdex.net/v2/it/cards/sv03.5-007</x:v>
      </x:c>
      <x:c r="R67" s="17" t="str">
        <x:v>https://assets.tcgdex.net/it/sv/sv03.5/007/high.webp</x:v>
      </x:c>
      <x:c r="S67" s="17" t="str">
        <x:v>C:\Users\hugob\Documents\Projet codage perso\maison-de-carapuce\outputs\019fdbac-bcf2-77a2-b3c8-0e870f4e19fc\images-manquantes-finales\041_IT_151_007_Squirtle.webp</x:v>
      </x:c>
      <x:c r="T67" s="18" t="str">
        <x:v>Une ligne par dessin/langue; impressions et stamps à éclater après contrôle humain</x:v>
      </x:c>
      <x:c r="U67" s="17" t="n">
        <x:v>1</x:v>
      </x:c>
    </x:row>
    <x:row r="68">
      <x:c r="A68" s="17" t="str">
        <x:v>named|IT|sv03.5-170</x:v>
      </x:c>
      <x:c r="B68" s="17" t="str">
        <x:v>Carte nommée Carapuce</x:v>
      </x:c>
      <x:c r="C68" s="17" t="str">
        <x:v>Pokémon TCG physique</x:v>
      </x:c>
      <x:c r="D68" s="17" t="str">
        <x:v>IT</x:v>
      </x:c>
      <x:c r="E68" s="17" t="str">
        <x:v>IT</x:v>
      </x:c>
      <x:c r="F68" s="18" t="str">
        <x:v>Squirtle</x:v>
      </x:c>
      <x:c r="G68" s="18" t="str">
        <x:v>151</x:v>
      </x:c>
      <x:c r="H68" s="19" t="n">
        <x:v>2023</x:v>
      </x:c>
      <x:c r="I68" s="17" t="str">
        <x:v>170</x:v>
      </x:c>
      <x:c r="J68" s="17" t="str">
        <x:v>Rara illustrazione</x:v>
      </x:c>
      <x:c r="K68" s="17" t="str">
        <x:v>holo</x:v>
      </x:c>
      <x:c r="L68" s="17" t="str">
        <x:v>Manquante</x:v>
      </x:c>
      <x:c r="M68" s="17" t="str">
        <x:v>Oui</x:v>
      </x:c>
      <x:c r="N68" s="17" t="str">
        <x:v>☐</x:v>
      </x:c>
      <x:c r="O68" s="17" t="str">
        <x:v>☐</x:v>
      </x:c>
      <x:c r="P68" s="17" t="str">
        <x:v>TCGdex</x:v>
      </x:c>
      <x:c r="Q68" s="17" t="str">
        <x:v>https://api.tcgdex.net/v2/it/cards/sv03.5-170</x:v>
      </x:c>
      <x:c r="R68" s="17" t="str">
        <x:v>https://assets.tcgdex.net/it/sv/sv03.5/170/high.webp</x:v>
      </x:c>
      <x:c r="S68" s="17" t="str">
        <x:v>C:\Users\hugob\Documents\Projet codage perso\maison-de-carapuce\outputs\019fdbac-bcf2-77a2-b3c8-0e870f4e19fc\images-manquantes-finales\052_IT_151_170_Squirtle.webp</x:v>
      </x:c>
      <x:c r="T68" s="18" t="str">
        <x:v>Une ligne par dessin/langue; impressions et stamps à éclater après contrôle humain</x:v>
      </x:c>
      <x:c r="U68" s="17" t="n">
        <x:v>1</x:v>
      </x:c>
    </x:row>
    <x:row r="69">
      <x:c r="A69" s="17" t="str">
        <x:v>named|IT|svp-048</x:v>
      </x:c>
      <x:c r="B69" s="17" t="str">
        <x:v>Carte nommée Carapuce</x:v>
      </x:c>
      <x:c r="C69" s="17" t="str">
        <x:v>Pokémon TCG physique</x:v>
      </x:c>
      <x:c r="D69" s="17" t="str">
        <x:v>IT</x:v>
      </x:c>
      <x:c r="E69" s="17" t="str">
        <x:v>IT</x:v>
      </x:c>
      <x:c r="F69" s="18" t="str">
        <x:v>Squirtle</x:v>
      </x:c>
      <x:c r="G69" s="18" t="str">
        <x:v>SVP Black Star Promos</x:v>
      </x:c>
      <x:c r="H69" s="19" t="n">
        <x:v>2023</x:v>
      </x:c>
      <x:c r="I69" s="17" t="str">
        <x:v>048</x:v>
      </x:c>
      <x:c r="J69" s="17" t="str">
        <x:v>Promo</x:v>
      </x:c>
      <x:c r="K69" s="17" t="str">
        <x:v>holo</x:v>
      </x:c>
      <x:c r="L69" s="17" t="str">
        <x:v>Manquante</x:v>
      </x:c>
      <x:c r="M69" s="17" t="str">
        <x:v>Oui</x:v>
      </x:c>
      <x:c r="N69" s="17" t="str">
        <x:v>☐</x:v>
      </x:c>
      <x:c r="O69" s="17" t="str">
        <x:v>☐</x:v>
      </x:c>
      <x:c r="P69" s="17" t="str">
        <x:v>TCGdex</x:v>
      </x:c>
      <x:c r="Q69" s="17" t="str">
        <x:v>https://api.tcgdex.net/v2/it/cards/svp-048</x:v>
      </x:c>
      <x:c r="R69" s="17" t="str">
        <x:v>https://assets.tcgdex.net/it/sv/svp/048/high.webp</x:v>
      </x:c>
      <x:c r="S69" s="17" t="str">
        <x:v>C:\Users\hugob\Documents\Projet codage perso\maison-de-carapuce\outputs\019fdbac-bcf2-77a2-b3c8-0e870f4e19fc\images-manquantes-finales\049_IT_SVP-Black-Star-Promos_048_Squirtle.webp</x:v>
      </x:c>
      <x:c r="T69" s="18" t="str">
        <x:v>Une ligne par dessin/langue; impressions et stamps à éclater après contrôle humain</x:v>
      </x:c>
      <x:c r="U69" s="17" t="n">
        <x:v>1</x:v>
      </x:c>
    </x:row>
    <x:row r="70">
      <x:c r="A70" s="17" t="str">
        <x:v>named|IT|sv07-148</x:v>
      </x:c>
      <x:c r="B70" s="17" t="str">
        <x:v>Carte nommée Carapuce</x:v>
      </x:c>
      <x:c r="C70" s="17" t="str">
        <x:v>Pokémon TCG physique</x:v>
      </x:c>
      <x:c r="D70" s="17" t="str">
        <x:v>IT</x:v>
      </x:c>
      <x:c r="E70" s="17" t="str">
        <x:v>IT</x:v>
      </x:c>
      <x:c r="F70" s="18" t="str">
        <x:v>Squirtle</x:v>
      </x:c>
      <x:c r="G70" s="18" t="str">
        <x:v>Corona Astrale</x:v>
      </x:c>
      <x:c r="H70" s="19" t="n">
        <x:v>2024</x:v>
      </x:c>
      <x:c r="I70" s="17" t="str">
        <x:v>148</x:v>
      </x:c>
      <x:c r="J70" s="17" t="str">
        <x:v>Rara illustrazione</x:v>
      </x:c>
      <x:c r="K70" s="17" t="str">
        <x:v>holo</x:v>
      </x:c>
      <x:c r="L70" s="17" t="str">
        <x:v>Manquante</x:v>
      </x:c>
      <x:c r="M70" s="17" t="str">
        <x:v>Oui</x:v>
      </x:c>
      <x:c r="N70" s="17" t="str">
        <x:v>☐</x:v>
      </x:c>
      <x:c r="O70" s="17" t="str">
        <x:v>☐</x:v>
      </x:c>
      <x:c r="P70" s="17" t="str">
        <x:v>TCGdex</x:v>
      </x:c>
      <x:c r="Q70" s="17" t="str">
        <x:v>https://api.tcgdex.net/v2/it/cards/sv07-148</x:v>
      </x:c>
      <x:c r="R70" s="17" t="str">
        <x:v>https://assets.tcgdex.net/it/sv/sv07/148/high.webp</x:v>
      </x:c>
      <x:c r="S70" s="17" t="str">
        <x:v>C:\Users\hugob\Documents\Projet codage perso\maison-de-carapuce\outputs\019fdbac-bcf2-77a2-b3c8-0e870f4e19fc\images-manquantes-finales\051_IT_Corona-Astrale_148_Squirtle.webp</x:v>
      </x:c>
      <x:c r="T70" s="18" t="str">
        <x:v>Une ligne par dessin/langue; impressions et stamps à éclater après contrôle humain</x:v>
      </x:c>
      <x:c r="U70" s="17" t="n">
        <x:v>1</x:v>
      </x:c>
    </x:row>
    <x:row r="71">
      <x:c r="A71" s="17" t="str">
        <x:v>named|IT|mep-039</x:v>
      </x:c>
      <x:c r="B71" s="17" t="str">
        <x:v>Carte nommée Carapuce</x:v>
      </x:c>
      <x:c r="C71" s="17" t="str">
        <x:v>Pokémon TCG physique</x:v>
      </x:c>
      <x:c r="D71" s="17" t="str">
        <x:v>IT</x:v>
      </x:c>
      <x:c r="E71" s="17" t="str">
        <x:v>IT</x:v>
      </x:c>
      <x:c r="F71" s="18" t="str">
        <x:v>Squirtle</x:v>
      </x:c>
      <x:c r="G71" s="18" t="str">
        <x:v>MEP Black Star Promos</x:v>
      </x:c>
      <x:c r="H71" s="19" t="n">
        <x:v>2025</x:v>
      </x:c>
      <x:c r="I71" s="17" t="str">
        <x:v>039</x:v>
      </x:c>
      <x:c r="J71" s="17" t="str">
        <x:v>Promo</x:v>
      </x:c>
      <x:c r="K71" s="17" t="str">
        <x:v>holo</x:v>
      </x:c>
      <x:c r="L71" s="17" t="str">
        <x:v>Manquante</x:v>
      </x:c>
      <x:c r="M71" s="17" t="str">
        <x:v>Non</x:v>
      </x:c>
      <x:c r="N71" s="17" t="str">
        <x:v>☐</x:v>
      </x:c>
      <x:c r="O71" s="17" t="str">
        <x:v>☐</x:v>
      </x:c>
      <x:c r="P71" s="17" t="str">
        <x:v>TCGdex</x:v>
      </x:c>
      <x:c r="Q71" s="17" t="str">
        <x:v>https://api.tcgdex.net/v2/it/cards/mep-039</x:v>
      </x:c>
      <x:c r="R71" s="17"/>
      <x:c r="S71" s="17"/>
      <x:c r="T71" s="18" t="str">
        <x:v>Une ligne par dessin/langue; impressions et stamps à éclater après contrôle humain</x:v>
      </x:c>
      <x:c r="U71" s="17" t="n">
        <x:v>1</x:v>
      </x:c>
    </x:row>
    <x:row r="72">
      <x:c r="A72" s="17" t="str">
        <x:v>named|PT|bw7-29</x:v>
      </x:c>
      <x:c r="B72" s="17" t="str">
        <x:v>Carte nommée Carapuce</x:v>
      </x:c>
      <x:c r="C72" s="17" t="str">
        <x:v>Pokémon TCG physique</x:v>
      </x:c>
      <x:c r="D72" s="17" t="str">
        <x:v>PT</x:v>
      </x:c>
      <x:c r="E72" s="17" t="str">
        <x:v>PT/BR</x:v>
      </x:c>
      <x:c r="F72" s="18" t="str">
        <x:v>Squirtle</x:v>
      </x:c>
      <x:c r="G72" s="18" t="str">
        <x:v>Fronteiras Cruzadas</x:v>
      </x:c>
      <x:c r="H72" s="19" t="n">
        <x:v>2012</x:v>
      </x:c>
      <x:c r="I72" s="17" t="str">
        <x:v>29</x:v>
      </x:c>
      <x:c r="J72" s="17" t="str">
        <x:v>Comum</x:v>
      </x:c>
      <x:c r="K72" s="17" t="str">
        <x:v>normal</x:v>
      </x:c>
      <x:c r="L72" s="17" t="str">
        <x:v>Manquante</x:v>
      </x:c>
      <x:c r="M72" s="17" t="str">
        <x:v>Oui</x:v>
      </x:c>
      <x:c r="N72" s="17" t="str">
        <x:v>☐</x:v>
      </x:c>
      <x:c r="O72" s="17" t="str">
        <x:v>☐</x:v>
      </x:c>
      <x:c r="P72" s="17" t="str">
        <x:v>TCGdex</x:v>
      </x:c>
      <x:c r="Q72" s="17" t="str">
        <x:v>https://api.tcgdex.net/v2/pt/cards/bw7-29</x:v>
      </x:c>
      <x:c r="R72" s="17" t="str">
        <x:v>https://assets.tcgdex.net/pt/bw/bw7/29/high.webp</x:v>
      </x:c>
      <x:c r="S72" s="17" t="str">
        <x:v>C:\Users\hugob\Documents\Projet codage perso\maison-de-carapuce\outputs\019fdbac-bcf2-77a2-b3c8-0e870f4e19fc\images-manquantes-finales\060_PT_Fronteiras-Cruzadas_29_Squirtle.webp</x:v>
      </x:c>
      <x:c r="T72" s="18" t="str">
        <x:v>Une ligne par dessin/langue; impressions et stamps à éclater après contrôle humain</x:v>
      </x:c>
      <x:c r="U72" s="17" t="n">
        <x:v>1</x:v>
      </x:c>
    </x:row>
    <x:row r="73">
      <x:c r="A73" s="17" t="str">
        <x:v>named|PT|bw10-14</x:v>
      </x:c>
      <x:c r="B73" s="17" t="str">
        <x:v>Carte nommée Carapuce</x:v>
      </x:c>
      <x:c r="C73" s="17" t="str">
        <x:v>Pokémon TCG physique</x:v>
      </x:c>
      <x:c r="D73" s="17" t="str">
        <x:v>PT</x:v>
      </x:c>
      <x:c r="E73" s="17" t="str">
        <x:v>PT/BR</x:v>
      </x:c>
      <x:c r="F73" s="18" t="str">
        <x:v>Squirtle</x:v>
      </x:c>
      <x:c r="G73" s="18" t="str">
        <x:v>Explosão de Plasma</x:v>
      </x:c>
      <x:c r="H73" s="19" t="n">
        <x:v>2013</x:v>
      </x:c>
      <x:c r="I73" s="17" t="str">
        <x:v>14</x:v>
      </x:c>
      <x:c r="J73" s="17" t="str">
        <x:v>Comum</x:v>
      </x:c>
      <x:c r="K73" s="17" t="str">
        <x:v>normal</x:v>
      </x:c>
      <x:c r="L73" s="17" t="str">
        <x:v>Manquante</x:v>
      </x:c>
      <x:c r="M73" s="17" t="str">
        <x:v>Oui</x:v>
      </x:c>
      <x:c r="N73" s="17" t="str">
        <x:v>☐</x:v>
      </x:c>
      <x:c r="O73" s="17" t="str">
        <x:v>☐</x:v>
      </x:c>
      <x:c r="P73" s="17" t="str">
        <x:v>TCGdex</x:v>
      </x:c>
      <x:c r="Q73" s="17" t="str">
        <x:v>https://api.tcgdex.net/v2/pt/cards/bw10-14</x:v>
      </x:c>
      <x:c r="R73" s="17" t="str">
        <x:v>https://assets.tcgdex.net/pt/bw/bw10/14/high.webp</x:v>
      </x:c>
      <x:c r="S73" s="17" t="str">
        <x:v>C:\Users\hugob\Documents\Projet codage perso\maison-de-carapuce\outputs\019fdbac-bcf2-77a2-b3c8-0e870f4e19fc\images-manquantes-finales\055_PT_Explosao-de-Plasma_14_Squirtle.webp</x:v>
      </x:c>
      <x:c r="T73" s="18" t="str">
        <x:v>Une ligne par dessin/langue; impressions et stamps à éclater après contrôle humain</x:v>
      </x:c>
      <x:c r="U73" s="17" t="n">
        <x:v>1</x:v>
      </x:c>
    </x:row>
    <x:row r="74">
      <x:c r="A74" s="17" t="str">
        <x:v>named|PT|bw8-24</x:v>
      </x:c>
      <x:c r="B74" s="17" t="str">
        <x:v>Carte nommée Carapuce</x:v>
      </x:c>
      <x:c r="C74" s="17" t="str">
        <x:v>Pokémon TCG physique</x:v>
      </x:c>
      <x:c r="D74" s="17" t="str">
        <x:v>PT</x:v>
      </x:c>
      <x:c r="E74" s="17" t="str">
        <x:v>PT/BR</x:v>
      </x:c>
      <x:c r="F74" s="18" t="str">
        <x:v>Squirtle</x:v>
      </x:c>
      <x:c r="G74" s="18" t="str">
        <x:v>Tempestade de Plasma</x:v>
      </x:c>
      <x:c r="H74" s="19" t="n">
        <x:v>2013</x:v>
      </x:c>
      <x:c r="I74" s="17" t="str">
        <x:v>24</x:v>
      </x:c>
      <x:c r="J74" s="17" t="str">
        <x:v>Comum</x:v>
      </x:c>
      <x:c r="K74" s="17" t="str">
        <x:v>normal</x:v>
      </x:c>
      <x:c r="L74" s="17" t="str">
        <x:v>Manquante</x:v>
      </x:c>
      <x:c r="M74" s="17" t="str">
        <x:v>Oui</x:v>
      </x:c>
      <x:c r="N74" s="17" t="str">
        <x:v>☐</x:v>
      </x:c>
      <x:c r="O74" s="17" t="str">
        <x:v>☐</x:v>
      </x:c>
      <x:c r="P74" s="17" t="str">
        <x:v>TCGdex</x:v>
      </x:c>
      <x:c r="Q74" s="17" t="str">
        <x:v>https://api.tcgdex.net/v2/pt/cards/bw8-24</x:v>
      </x:c>
      <x:c r="R74" s="17" t="str">
        <x:v>https://assets.tcgdex.net/pt/bw/bw8/24/high.webp</x:v>
      </x:c>
      <x:c r="S74" s="17" t="str">
        <x:v>C:\Users\hugob\Documents\Projet codage perso\maison-de-carapuce\outputs\019fdbac-bcf2-77a2-b3c8-0e870f4e19fc\images-manquantes-finales\059_PT_Tempestade-de-Plasma_24_Squirtle.webp</x:v>
      </x:c>
      <x:c r="T74" s="18" t="str">
        <x:v>Une ligne par dessin/langue; impressions et stamps à éclater après contrôle humain</x:v>
      </x:c>
      <x:c r="U74" s="17" t="n">
        <x:v>1</x:v>
      </x:c>
    </x:row>
    <x:row r="75">
      <x:c r="A75" s="17" t="str">
        <x:v>named|PT|sm10-33</x:v>
      </x:c>
      <x:c r="B75" s="17" t="str">
        <x:v>Carte nommée Carapuce</x:v>
      </x:c>
      <x:c r="C75" s="17" t="str">
        <x:v>Pokémon TCG physique</x:v>
      </x:c>
      <x:c r="D75" s="17" t="str">
        <x:v>PT</x:v>
      </x:c>
      <x:c r="E75" s="17" t="str">
        <x:v>PT/BR</x:v>
      </x:c>
      <x:c r="F75" s="18" t="str">
        <x:v>Squirtle</x:v>
      </x:c>
      <x:c r="G75" s="18" t="str">
        <x:v>Elos Inquebráveis</x:v>
      </x:c>
      <x:c r="H75" s="19" t="n">
        <x:v>2019</x:v>
      </x:c>
      <x:c r="I75" s="17" t="str">
        <x:v>33</x:v>
      </x:c>
      <x:c r="J75" s="17" t="str">
        <x:v>Comum</x:v>
      </x:c>
      <x:c r="K75" s="17" t="str">
        <x:v>normal</x:v>
      </x:c>
      <x:c r="L75" s="17" t="str">
        <x:v>Manquante</x:v>
      </x:c>
      <x:c r="M75" s="17" t="str">
        <x:v>Oui</x:v>
      </x:c>
      <x:c r="N75" s="17" t="str">
        <x:v>☐</x:v>
      </x:c>
      <x:c r="O75" s="17" t="str">
        <x:v>☐</x:v>
      </x:c>
      <x:c r="P75" s="17" t="str">
        <x:v>TCGdex</x:v>
      </x:c>
      <x:c r="Q75" s="17" t="str">
        <x:v>https://api.tcgdex.net/v2/pt/cards/sm10-33</x:v>
      </x:c>
      <x:c r="R75" s="17" t="str">
        <x:v>https://assets.tcgdex.net/pt/sm/sm10/33/high.webp</x:v>
      </x:c>
      <x:c r="S75" s="17" t="str">
        <x:v>C:\Users\hugob\Documents\Projet codage perso\maison-de-carapuce\outputs\019fdbac-bcf2-77a2-b3c8-0e870f4e19fc\images-manquantes-finales\061_PT_Elos-Inquebraveis_33_Squirtle.webp</x:v>
      </x:c>
      <x:c r="T75" s="18" t="str">
        <x:v>Une ligne par dessin/langue; impressions et stamps à éclater après contrôle humain</x:v>
      </x:c>
      <x:c r="U75" s="17" t="n">
        <x:v>1</x:v>
      </x:c>
    </x:row>
    <x:row r="76">
      <x:c r="A76" s="17" t="str">
        <x:v>named|PT|swshp-SWSH233</x:v>
      </x:c>
      <x:c r="B76" s="17" t="str">
        <x:v>Carte nommée Carapuce</x:v>
      </x:c>
      <x:c r="C76" s="17" t="str">
        <x:v>Pokémon TCG physique</x:v>
      </x:c>
      <x:c r="D76" s="17" t="str">
        <x:v>PT</x:v>
      </x:c>
      <x:c r="E76" s="17" t="str">
        <x:v>PT/BR</x:v>
      </x:c>
      <x:c r="F76" s="18" t="str">
        <x:v>Squirtle</x:v>
      </x:c>
      <x:c r="G76" s="18" t="str">
        <x:v>ESES Promos</x:v>
      </x:c>
      <x:c r="H76" s="19" t="n">
        <x:v>2019</x:v>
      </x:c>
      <x:c r="I76" s="17" t="str">
        <x:v>SWSH233</x:v>
      </x:c>
      <x:c r="J76" s="17" t="str">
        <x:v>Promo</x:v>
      </x:c>
      <x:c r="K76" s="17" t="str">
        <x:v>normal</x:v>
      </x:c>
      <x:c r="L76" s="17" t="str">
        <x:v>Manquante</x:v>
      </x:c>
      <x:c r="M76" s="17" t="str">
        <x:v>Non</x:v>
      </x:c>
      <x:c r="N76" s="17" t="str">
        <x:v>☐</x:v>
      </x:c>
      <x:c r="O76" s="17" t="str">
        <x:v>☐</x:v>
      </x:c>
      <x:c r="P76" s="17" t="str">
        <x:v>TCGdex</x:v>
      </x:c>
      <x:c r="Q76" s="17" t="str">
        <x:v>https://api.tcgdex.net/v2/pt/cards/swshp-SWSH233</x:v>
      </x:c>
      <x:c r="R76" s="17"/>
      <x:c r="S76" s="17"/>
      <x:c r="T76" s="18" t="str">
        <x:v>Une ligne par dessin/langue; impressions et stamps à éclater après contrôle humain</x:v>
      </x:c>
      <x:c r="U76" s="17" t="n">
        <x:v>1</x:v>
      </x:c>
    </x:row>
    <x:row r="77">
      <x:c r="A77" s="17" t="str">
        <x:v>named|PT|sm9-22</x:v>
      </x:c>
      <x:c r="B77" s="17" t="str">
        <x:v>Carte nommée Carapuce</x:v>
      </x:c>
      <x:c r="C77" s="17" t="str">
        <x:v>Pokémon TCG physique</x:v>
      </x:c>
      <x:c r="D77" s="17" t="str">
        <x:v>PT</x:v>
      </x:c>
      <x:c r="E77" s="17" t="str">
        <x:v>PT/BR</x:v>
      </x:c>
      <x:c r="F77" s="18" t="str">
        <x:v>Squirtle</x:v>
      </x:c>
      <x:c r="G77" s="18" t="str">
        <x:v>União de Aliados</x:v>
      </x:c>
      <x:c r="H77" s="19" t="n">
        <x:v>2019</x:v>
      </x:c>
      <x:c r="I77" s="17" t="str">
        <x:v>22</x:v>
      </x:c>
      <x:c r="J77" s="17" t="str">
        <x:v>Comum</x:v>
      </x:c>
      <x:c r="K77" s="17" t="str">
        <x:v>normal</x:v>
      </x:c>
      <x:c r="L77" s="17" t="str">
        <x:v>Manquante</x:v>
      </x:c>
      <x:c r="M77" s="17" t="str">
        <x:v>Oui</x:v>
      </x:c>
      <x:c r="N77" s="17" t="str">
        <x:v>☐</x:v>
      </x:c>
      <x:c r="O77" s="17" t="str">
        <x:v>☐</x:v>
      </x:c>
      <x:c r="P77" s="17" t="str">
        <x:v>TCGdex</x:v>
      </x:c>
      <x:c r="Q77" s="17" t="str">
        <x:v>https://api.tcgdex.net/v2/pt/cards/sm9-22</x:v>
      </x:c>
      <x:c r="R77" s="17" t="str">
        <x:v>https://assets.tcgdex.net/pt/sm/sm9/22/high.webp</x:v>
      </x:c>
      <x:c r="S77" s="17" t="str">
        <x:v>C:\Users\hugob\Documents\Projet codage perso\maison-de-carapuce\outputs\019fdbac-bcf2-77a2-b3c8-0e870f4e19fc\images-manquantes-finales\057_PT_Uniao-de-Aliados_22_Squirtle.webp</x:v>
      </x:c>
      <x:c r="T77" s="18" t="str">
        <x:v>Une ligne par dessin/langue; impressions et stamps à éclater après contrôle humain</x:v>
      </x:c>
      <x:c r="U77" s="17" t="n">
        <x:v>1</x:v>
      </x:c>
    </x:row>
    <x:row r="78">
      <x:c r="A78" s="17" t="str">
        <x:v>named|PT|sm9-23</x:v>
      </x:c>
      <x:c r="B78" s="17" t="str">
        <x:v>Carte nommée Carapuce</x:v>
      </x:c>
      <x:c r="C78" s="17" t="str">
        <x:v>Pokémon TCG physique</x:v>
      </x:c>
      <x:c r="D78" s="17" t="str">
        <x:v>PT</x:v>
      </x:c>
      <x:c r="E78" s="17" t="str">
        <x:v>PT/BR</x:v>
      </x:c>
      <x:c r="F78" s="18" t="str">
        <x:v>Squirtle</x:v>
      </x:c>
      <x:c r="G78" s="18" t="str">
        <x:v>União de Aliados</x:v>
      </x:c>
      <x:c r="H78" s="19" t="n">
        <x:v>2019</x:v>
      </x:c>
      <x:c r="I78" s="17" t="str">
        <x:v>23</x:v>
      </x:c>
      <x:c r="J78" s="17" t="str">
        <x:v>Comum</x:v>
      </x:c>
      <x:c r="K78" s="17" t="str">
        <x:v>normal</x:v>
      </x:c>
      <x:c r="L78" s="17" t="str">
        <x:v>Manquante</x:v>
      </x:c>
      <x:c r="M78" s="17" t="str">
        <x:v>Oui</x:v>
      </x:c>
      <x:c r="N78" s="17" t="str">
        <x:v>☐</x:v>
      </x:c>
      <x:c r="O78" s="17" t="str">
        <x:v>☐</x:v>
      </x:c>
      <x:c r="P78" s="17" t="str">
        <x:v>TCGdex</x:v>
      </x:c>
      <x:c r="Q78" s="17" t="str">
        <x:v>https://api.tcgdex.net/v2/pt/cards/sm9-23</x:v>
      </x:c>
      <x:c r="R78" s="17" t="str">
        <x:v>https://assets.tcgdex.net/pt/sm/sm9/23/high.webp</x:v>
      </x:c>
      <x:c r="S78" s="17" t="str">
        <x:v>C:\Users\hugob\Documents\Projet codage perso\maison-de-carapuce\outputs\019fdbac-bcf2-77a2-b3c8-0e870f4e19fc\images-manquantes-finales\058_PT_Uniao-de-Aliados_23_Squirtle.webp</x:v>
      </x:c>
      <x:c r="T78" s="18" t="str">
        <x:v>Une ligne par dessin/langue; impressions et stamps à éclater après contrôle humain</x:v>
      </x:c>
      <x:c r="U78" s="17" t="n">
        <x:v>1</x:v>
      </x:c>
    </x:row>
    <x:row r="79">
      <x:c r="A79" s="17" t="str">
        <x:v>named|PT|swsh10.5-015</x:v>
      </x:c>
      <x:c r="B79" s="17" t="str">
        <x:v>Carte nommée Carapuce</x:v>
      </x:c>
      <x:c r="C79" s="17" t="str">
        <x:v>Pokémon TCG physique</x:v>
      </x:c>
      <x:c r="D79" s="17" t="str">
        <x:v>PT</x:v>
      </x:c>
      <x:c r="E79" s="17" t="str">
        <x:v>PT/BR</x:v>
      </x:c>
      <x:c r="F79" s="18" t="str">
        <x:v>Squirtle</x:v>
      </x:c>
      <x:c r="G79" s="18" t="str">
        <x:v>Pokémon GO</x:v>
      </x:c>
      <x:c r="H79" s="19" t="n">
        <x:v>2022</x:v>
      </x:c>
      <x:c r="I79" s="17" t="str">
        <x:v>015</x:v>
      </x:c>
      <x:c r="J79" s="17" t="str">
        <x:v>Comum</x:v>
      </x:c>
      <x:c r="K79" s="17" t="str">
        <x:v>normal, reverse</x:v>
      </x:c>
      <x:c r="L79" s="17" t="str">
        <x:v>Manquante</x:v>
      </x:c>
      <x:c r="M79" s="17" t="str">
        <x:v>Oui</x:v>
      </x:c>
      <x:c r="N79" s="17" t="str">
        <x:v>☐</x:v>
      </x:c>
      <x:c r="O79" s="17" t="str">
        <x:v>☐</x:v>
      </x:c>
      <x:c r="P79" s="17" t="str">
        <x:v>TCGdex</x:v>
      </x:c>
      <x:c r="Q79" s="17" t="str">
        <x:v>https://api.tcgdex.net/v2/pt/cards/swsh10.5-015</x:v>
      </x:c>
      <x:c r="R79" s="17" t="str">
        <x:v>https://assets.tcgdex.net/pt/swsh/swsh10.5/015/high.webp</x:v>
      </x:c>
      <x:c r="S79" s="17" t="str">
        <x:v>C:\Users\hugob\Documents\Projet codage perso\maison-de-carapuce\outputs\019fdbac-bcf2-77a2-b3c8-0e870f4e19fc\images-manquantes-finales\056_PT_Pokemon-GO_015_Squirtle.webp</x:v>
      </x:c>
      <x:c r="T79" s="18" t="str">
        <x:v>Une ligne par dessin/langue; impressions et stamps à éclater après contrôle humain</x:v>
      </x:c>
      <x:c r="U79" s="17" t="n">
        <x:v>1</x:v>
      </x:c>
    </x:row>
    <x:row r="80">
      <x:c r="A80" s="17" t="str">
        <x:v>named|PT|sv03.5-007</x:v>
      </x:c>
      <x:c r="B80" s="17" t="str">
        <x:v>Carte nommée Carapuce</x:v>
      </x:c>
      <x:c r="C80" s="17" t="str">
        <x:v>Pokémon TCG physique</x:v>
      </x:c>
      <x:c r="D80" s="17" t="str">
        <x:v>PT</x:v>
      </x:c>
      <x:c r="E80" s="17" t="str">
        <x:v>PT/BR</x:v>
      </x:c>
      <x:c r="F80" s="18" t="str">
        <x:v>Squirtle</x:v>
      </x:c>
      <x:c r="G80" s="18" t="str">
        <x:v>151</x:v>
      </x:c>
      <x:c r="H80" s="19" t="n">
        <x:v>2023</x:v>
      </x:c>
      <x:c r="I80" s="17" t="str">
        <x:v>007</x:v>
      </x:c>
      <x:c r="J80" s="17" t="str">
        <x:v>Comum</x:v>
      </x:c>
      <x:c r="K80" s="17" t="str">
        <x:v>normal, reverse</x:v>
      </x:c>
      <x:c r="L80" s="17" t="str">
        <x:v>Manquante</x:v>
      </x:c>
      <x:c r="M80" s="17" t="str">
        <x:v>Oui</x:v>
      </x:c>
      <x:c r="N80" s="17" t="str">
        <x:v>☐</x:v>
      </x:c>
      <x:c r="O80" s="17" t="str">
        <x:v>☐</x:v>
      </x:c>
      <x:c r="P80" s="17" t="str">
        <x:v>TCGdex</x:v>
      </x:c>
      <x:c r="Q80" s="17" t="str">
        <x:v>https://api.tcgdex.net/v2/pt/cards/sv03.5-007</x:v>
      </x:c>
      <x:c r="R80" s="17" t="str">
        <x:v>https://assets.tcgdex.net/pt/sv/sv03.5/007/high.webp</x:v>
      </x:c>
      <x:c r="S80" s="17" t="str">
        <x:v>C:\Users\hugob\Documents\Projet codage perso\maison-de-carapuce\outputs\019fdbac-bcf2-77a2-b3c8-0e870f4e19fc\images-manquantes-finales\054_PT_151_007_Squirtle.webp</x:v>
      </x:c>
      <x:c r="T80" s="18" t="str">
        <x:v>Une ligne par dessin/langue; impressions et stamps à éclater après contrôle humain</x:v>
      </x:c>
      <x:c r="U80" s="17" t="n">
        <x:v>1</x:v>
      </x:c>
    </x:row>
    <x:row r="81">
      <x:c r="A81" s="17" t="str">
        <x:v>named|PT|sv03.5-170</x:v>
      </x:c>
      <x:c r="B81" s="17" t="str">
        <x:v>Carte nommée Carapuce</x:v>
      </x:c>
      <x:c r="C81" s="17" t="str">
        <x:v>Pokémon TCG physique</x:v>
      </x:c>
      <x:c r="D81" s="17" t="str">
        <x:v>PT</x:v>
      </x:c>
      <x:c r="E81" s="17" t="str">
        <x:v>PT/BR</x:v>
      </x:c>
      <x:c r="F81" s="18" t="str">
        <x:v>Squirtle</x:v>
      </x:c>
      <x:c r="G81" s="18" t="str">
        <x:v>151</x:v>
      </x:c>
      <x:c r="H81" s="19" t="n">
        <x:v>2023</x:v>
      </x:c>
      <x:c r="I81" s="17" t="str">
        <x:v>170</x:v>
      </x:c>
      <x:c r="J81" s="17" t="str">
        <x:v>Ilustração Rara</x:v>
      </x:c>
      <x:c r="K81" s="17" t="str">
        <x:v>holo</x:v>
      </x:c>
      <x:c r="L81" s="17" t="str">
        <x:v>Manquante</x:v>
      </x:c>
      <x:c r="M81" s="17" t="str">
        <x:v>Oui</x:v>
      </x:c>
      <x:c r="N81" s="17" t="str">
        <x:v>☐</x:v>
      </x:c>
      <x:c r="O81" s="17" t="str">
        <x:v>☐</x:v>
      </x:c>
      <x:c r="P81" s="17" t="str">
        <x:v>TCGdex</x:v>
      </x:c>
      <x:c r="Q81" s="17" t="str">
        <x:v>https://api.tcgdex.net/v2/pt/cards/sv03.5-170</x:v>
      </x:c>
      <x:c r="R81" s="17" t="str">
        <x:v>https://assets.tcgdex.net/pt/sv/sv03.5/170/high.webp</x:v>
      </x:c>
      <x:c r="S81" s="17" t="str">
        <x:v>C:\Users\hugob\Documents\Projet codage perso\maison-de-carapuce\outputs\019fdbac-bcf2-77a2-b3c8-0e870f4e19fc\images-manquantes-finales\065_PT_151_170_Squirtle.webp</x:v>
      </x:c>
      <x:c r="T81" s="18" t="str">
        <x:v>Une ligne par dessin/langue; impressions et stamps à éclater après contrôle humain</x:v>
      </x:c>
      <x:c r="U81" s="17" t="n">
        <x:v>1</x:v>
      </x:c>
    </x:row>
    <x:row r="82">
      <x:c r="A82" s="17" t="str">
        <x:v>named|PT|svp-048</x:v>
      </x:c>
      <x:c r="B82" s="17" t="str">
        <x:v>Carte nommée Carapuce</x:v>
      </x:c>
      <x:c r="C82" s="17" t="str">
        <x:v>Pokémon TCG physique</x:v>
      </x:c>
      <x:c r="D82" s="17" t="str">
        <x:v>PT</x:v>
      </x:c>
      <x:c r="E82" s="17" t="str">
        <x:v>PT/BR</x:v>
      </x:c>
      <x:c r="F82" s="18" t="str">
        <x:v>Squirtle</x:v>
      </x:c>
      <x:c r="G82" s="18" t="str">
        <x:v>SVP Black Star Promos</x:v>
      </x:c>
      <x:c r="H82" s="19" t="n">
        <x:v>2023</x:v>
      </x:c>
      <x:c r="I82" s="17" t="str">
        <x:v>048</x:v>
      </x:c>
      <x:c r="J82" s="17" t="str">
        <x:v>Promo</x:v>
      </x:c>
      <x:c r="K82" s="17" t="str">
        <x:v>holo</x:v>
      </x:c>
      <x:c r="L82" s="17" t="str">
        <x:v>Manquante</x:v>
      </x:c>
      <x:c r="M82" s="17" t="str">
        <x:v>Oui</x:v>
      </x:c>
      <x:c r="N82" s="17" t="str">
        <x:v>☐</x:v>
      </x:c>
      <x:c r="O82" s="17" t="str">
        <x:v>☐</x:v>
      </x:c>
      <x:c r="P82" s="17" t="str">
        <x:v>TCGdex</x:v>
      </x:c>
      <x:c r="Q82" s="17" t="str">
        <x:v>https://api.tcgdex.net/v2/pt/cards/svp-048</x:v>
      </x:c>
      <x:c r="R82" s="17" t="str">
        <x:v>https://assets.tcgdex.net/pt/sv/svp/048/high.webp</x:v>
      </x:c>
      <x:c r="S82" s="17" t="str">
        <x:v>C:\Users\hugob\Documents\Projet codage perso\maison-de-carapuce\outputs\019fdbac-bcf2-77a2-b3c8-0e870f4e19fc\images-manquantes-finales\063_PT_SVP-Black-Star-Promos_048_Squirtle.webp</x:v>
      </x:c>
      <x:c r="T82" s="18" t="str">
        <x:v>Une ligne par dessin/langue; impressions et stamps à éclater après contrôle humain</x:v>
      </x:c>
      <x:c r="U82" s="17" t="n">
        <x:v>1</x:v>
      </x:c>
    </x:row>
    <x:row r="83">
      <x:c r="A83" s="17" t="str">
        <x:v>named|PT|sv07-148</x:v>
      </x:c>
      <x:c r="B83" s="17" t="str">
        <x:v>Carte nommée Carapuce</x:v>
      </x:c>
      <x:c r="C83" s="17" t="str">
        <x:v>Pokémon TCG physique</x:v>
      </x:c>
      <x:c r="D83" s="17" t="str">
        <x:v>PT</x:v>
      </x:c>
      <x:c r="E83" s="17" t="str">
        <x:v>PT/BR</x:v>
      </x:c>
      <x:c r="F83" s="18" t="str">
        <x:v>Squirtle</x:v>
      </x:c>
      <x:c r="G83" s="18" t="str">
        <x:v>Coroa Estelar</x:v>
      </x:c>
      <x:c r="H83" s="19" t="n">
        <x:v>2024</x:v>
      </x:c>
      <x:c r="I83" s="17" t="str">
        <x:v>148</x:v>
      </x:c>
      <x:c r="J83" s="17" t="str">
        <x:v>Ilustração Rara</x:v>
      </x:c>
      <x:c r="K83" s="17" t="str">
        <x:v>holo</x:v>
      </x:c>
      <x:c r="L83" s="17" t="str">
        <x:v>Manquante</x:v>
      </x:c>
      <x:c r="M83" s="17" t="str">
        <x:v>Oui</x:v>
      </x:c>
      <x:c r="N83" s="17" t="str">
        <x:v>☐</x:v>
      </x:c>
      <x:c r="O83" s="17" t="str">
        <x:v>☐</x:v>
      </x:c>
      <x:c r="P83" s="17" t="str">
        <x:v>TCGdex</x:v>
      </x:c>
      <x:c r="Q83" s="17" t="str">
        <x:v>https://api.tcgdex.net/v2/pt/cards/sv07-148</x:v>
      </x:c>
      <x:c r="R83" s="17" t="str">
        <x:v>https://assets.tcgdex.net/pt/sv/sv07/148/high.webp</x:v>
      </x:c>
      <x:c r="S83" s="17" t="str">
        <x:v>C:\Users\hugob\Documents\Projet codage perso\maison-de-carapuce\outputs\019fdbac-bcf2-77a2-b3c8-0e870f4e19fc\images-manquantes-finales\064_PT_Coroa-Estelar_148_Squirtle.webp</x:v>
      </x:c>
      <x:c r="T83" s="18" t="str">
        <x:v>Une ligne par dessin/langue; impressions et stamps à éclater après contrôle humain</x:v>
      </x:c>
      <x:c r="U83" s="17" t="n">
        <x:v>1</x:v>
      </x:c>
    </x:row>
    <x:row r="84">
      <x:c r="A84" s="17" t="str">
        <x:v>named|PT|mep-039</x:v>
      </x:c>
      <x:c r="B84" s="17" t="str">
        <x:v>Carte nommée Carapuce</x:v>
      </x:c>
      <x:c r="C84" s="17" t="str">
        <x:v>Pokémon TCG physique</x:v>
      </x:c>
      <x:c r="D84" s="17" t="str">
        <x:v>PT</x:v>
      </x:c>
      <x:c r="E84" s="17" t="str">
        <x:v>PT/BR</x:v>
      </x:c>
      <x:c r="F84" s="18" t="str">
        <x:v>Squirtle</x:v>
      </x:c>
      <x:c r="G84" s="18" t="str">
        <x:v>MEP Black Star Promos</x:v>
      </x:c>
      <x:c r="H84" s="19" t="n">
        <x:v>2025</x:v>
      </x:c>
      <x:c r="I84" s="17" t="str">
        <x:v>039</x:v>
      </x:c>
      <x:c r="J84" s="17" t="str">
        <x:v>Promo</x:v>
      </x:c>
      <x:c r="K84" s="17" t="str">
        <x:v>holo</x:v>
      </x:c>
      <x:c r="L84" s="17" t="str">
        <x:v>Manquante</x:v>
      </x:c>
      <x:c r="M84" s="17" t="str">
        <x:v>Non</x:v>
      </x:c>
      <x:c r="N84" s="17" t="str">
        <x:v>☐</x:v>
      </x:c>
      <x:c r="O84" s="17" t="str">
        <x:v>☐</x:v>
      </x:c>
      <x:c r="P84" s="17" t="str">
        <x:v>TCGdex</x:v>
      </x:c>
      <x:c r="Q84" s="17" t="str">
        <x:v>https://api.tcgdex.net/v2/pt/cards/mep-039</x:v>
      </x:c>
      <x:c r="R84" s="17"/>
      <x:c r="S84" s="17"/>
      <x:c r="T84" s="18" t="str">
        <x:v>Une ligne par dessin/langue; impressions et stamps à éclater après contrôle humain</x:v>
      </x:c>
      <x:c r="U84" s="17" t="n">
        <x:v>1</x:v>
      </x:c>
    </x:row>
    <x:row r="85">
      <x:c r="A85" s="17" t="str">
        <x:v>named|TH|SV2a-007</x:v>
      </x:c>
      <x:c r="B85" s="17" t="str">
        <x:v>Carte nommée Carapuce</x:v>
      </x:c>
      <x:c r="C85" s="17" t="str">
        <x:v>Pokémon TCG physique</x:v>
      </x:c>
      <x:c r="D85" s="17" t="str">
        <x:v>TH</x:v>
      </x:c>
      <x:c r="E85" s="17" t="str">
        <x:v>TH</x:v>
      </x:c>
      <x:c r="F85" s="18" t="str">
        <x:v>เซนิกาเมะ</x:v>
      </x:c>
      <x:c r="G85" s="18" t="str">
        <x:v>โปเกมอนการ์ด 151</x:v>
      </x:c>
      <x:c r="H85" s="19" t="n">
        <x:v>2023</x:v>
      </x:c>
      <x:c r="I85" s="17" t="str">
        <x:v>007</x:v>
      </x:c>
      <x:c r="J85" s="17" t="str">
        <x:v>Common</x:v>
      </x:c>
      <x:c r="K85" s="17" t="str">
        <x:v>normal</x:v>
      </x:c>
      <x:c r="L85" s="17" t="str">
        <x:v>Manquante</x:v>
      </x:c>
      <x:c r="M85" s="17" t="str">
        <x:v>Oui</x:v>
      </x:c>
      <x:c r="N85" s="17" t="str">
        <x:v>☐</x:v>
      </x:c>
      <x:c r="O85" s="17" t="str">
        <x:v>☐</x:v>
      </x:c>
      <x:c r="P85" s="17" t="str">
        <x:v>TCGdex</x:v>
      </x:c>
      <x:c r="Q85" s="17" t="str">
        <x:v>https://api.tcgdex.net/v2/th/cards/SV2a-007</x:v>
      </x:c>
      <x:c r="R85" s="17" t="str">
        <x:v>https://assets.tcgdex.net/th/SV/SV2a/007/high.webp</x:v>
      </x:c>
      <x:c r="S85" s="17" t="str">
        <x:v>C:\Users\hugob\Documents\Projet codage perso\maison-de-carapuce\outputs\019fdbac-bcf2-77a2-b3c8-0e870f4e19fc\images-manquantes-finales\072_TH_-151_007_.webp</x:v>
      </x:c>
      <x:c r="T85" s="18" t="str">
        <x:v>Une ligne par dessin/langue; impressions et stamps à éclater après contrôle humain</x:v>
      </x:c>
      <x:c r="U85" s="17" t="n">
        <x:v>1</x:v>
      </x:c>
    </x:row>
    <x:row r="86">
      <x:c r="A86" s="17" t="str">
        <x:v>named|TH|SV2a-170</x:v>
      </x:c>
      <x:c r="B86" s="17" t="str">
        <x:v>Carte nommée Carapuce</x:v>
      </x:c>
      <x:c r="C86" s="17" t="str">
        <x:v>Pokémon TCG physique</x:v>
      </x:c>
      <x:c r="D86" s="17" t="str">
        <x:v>TH</x:v>
      </x:c>
      <x:c r="E86" s="17" t="str">
        <x:v>TH</x:v>
      </x:c>
      <x:c r="F86" s="18" t="str">
        <x:v>เซนิกาเมะ</x:v>
      </x:c>
      <x:c r="G86" s="18" t="str">
        <x:v>โปเกมอนการ์ด 151</x:v>
      </x:c>
      <x:c r="H86" s="19" t="n">
        <x:v>2023</x:v>
      </x:c>
      <x:c r="I86" s="17" t="str">
        <x:v>170</x:v>
      </x:c>
      <x:c r="J86" s="17" t="str"/>
      <x:c r="K86" s="17" t="str">
        <x:v>normal</x:v>
      </x:c>
      <x:c r="L86" s="17" t="str">
        <x:v>Manquante</x:v>
      </x:c>
      <x:c r="M86" s="17" t="str">
        <x:v>Non</x:v>
      </x:c>
      <x:c r="N86" s="17" t="str">
        <x:v>☐</x:v>
      </x:c>
      <x:c r="O86" s="17" t="str">
        <x:v>☐</x:v>
      </x:c>
      <x:c r="P86" s="17" t="str">
        <x:v>TCGdex</x:v>
      </x:c>
      <x:c r="Q86" s="17" t="str">
        <x:v>https://api.tcgdex.net/v2/th/cards/SV2a-170</x:v>
      </x:c>
      <x:c r="R86" s="17"/>
      <x:c r="S86" s="17"/>
      <x:c r="T86" s="18" t="str">
        <x:v>Une ligne par dessin/langue; impressions et stamps à éclater après contrôle humain</x:v>
      </x:c>
      <x:c r="U86" s="17" t="n">
        <x:v>1</x:v>
      </x:c>
    </x:row>
    <x:row r="87">
      <x:c r="A87" s="17" t="str">
        <x:v>named|ZH-TW|S10b-015</x:v>
      </x:c>
      <x:c r="B87" s="17" t="str">
        <x:v>Carte nommée Carapuce</x:v>
      </x:c>
      <x:c r="C87" s="17" t="str">
        <x:v>Pokémon TCG physique</x:v>
      </x:c>
      <x:c r="D87" s="17" t="str">
        <x:v>ZH-TW</x:v>
      </x:c>
      <x:c r="E87" s="17" t="str">
        <x:v>TW/HK</x:v>
      </x:c>
      <x:c r="F87" s="18" t="str">
        <x:v>傑尼龜</x:v>
      </x:c>
      <x:c r="G87" s="18" t="str">
        <x:v>Pokémon GO</x:v>
      </x:c>
      <x:c r="H87" s="19" t="n">
        <x:v>2022</x:v>
      </x:c>
      <x:c r="I87" s="17" t="str">
        <x:v>015</x:v>
      </x:c>
      <x:c r="J87" s="17" t="str"/>
      <x:c r="K87" s="17" t="str">
        <x:v>normal</x:v>
      </x:c>
      <x:c r="L87" s="17" t="str">
        <x:v>Manquante</x:v>
      </x:c>
      <x:c r="M87" s="17" t="str">
        <x:v>Oui</x:v>
      </x:c>
      <x:c r="N87" s="17" t="str">
        <x:v>☐</x:v>
      </x:c>
      <x:c r="O87" s="17" t="str">
        <x:v>☐</x:v>
      </x:c>
      <x:c r="P87" s="17" t="str">
        <x:v>TCGdex</x:v>
      </x:c>
      <x:c r="Q87" s="17" t="str">
        <x:v>https://api.tcgdex.net/v2/zh-tw/cards/S10b-015</x:v>
      </x:c>
      <x:c r="R87" s="17" t="str">
        <x:v>https://assets.tcgdex.net/zh-tw/S/S10b/015/high.webp</x:v>
      </x:c>
      <x:c r="S87" s="17" t="str">
        <x:v>C:\Users\hugob\Documents\Projet codage perso\maison-de-carapuce\outputs\019fdbac-bcf2-77a2-b3c8-0e870f4e19fc\images-manquantes-finales\068_ZH-TW_Pokemon-GO_015_.webp</x:v>
      </x:c>
      <x:c r="T87" s="18" t="str">
        <x:v>Une ligne par dessin/langue; impressions et stamps à éclater après contrôle humain</x:v>
      </x:c>
      <x:c r="U87" s="17" t="n">
        <x:v>1</x:v>
      </x:c>
    </x:row>
    <x:row r="88">
      <x:c r="A88" s="17" t="str">
        <x:v>named|ZH-TW|SV2a-007</x:v>
      </x:c>
      <x:c r="B88" s="17" t="str">
        <x:v>Carte nommée Carapuce</x:v>
      </x:c>
      <x:c r="C88" s="17" t="str">
        <x:v>Pokémon TCG physique</x:v>
      </x:c>
      <x:c r="D88" s="17" t="str">
        <x:v>ZH-TW</x:v>
      </x:c>
      <x:c r="E88" s="17" t="str">
        <x:v>TW/HK</x:v>
      </x:c>
      <x:c r="F88" s="18" t="str">
        <x:v>傑尼龜</x:v>
      </x:c>
      <x:c r="G88" s="18" t="str">
        <x:v>寶可夢卡牌151</x:v>
      </x:c>
      <x:c r="H88" s="19" t="n">
        <x:v>2023</x:v>
      </x:c>
      <x:c r="I88" s="17" t="str">
        <x:v>007</x:v>
      </x:c>
      <x:c r="J88" s="17" t="str">
        <x:v>Common</x:v>
      </x:c>
      <x:c r="K88" s="17" t="str">
        <x:v>normal</x:v>
      </x:c>
      <x:c r="L88" s="17" t="str">
        <x:v>Manquante</x:v>
      </x:c>
      <x:c r="M88" s="17" t="str">
        <x:v>Oui</x:v>
      </x:c>
      <x:c r="N88" s="17" t="str">
        <x:v>☐</x:v>
      </x:c>
      <x:c r="O88" s="17" t="str">
        <x:v>☐</x:v>
      </x:c>
      <x:c r="P88" s="17" t="str">
        <x:v>TCGdex</x:v>
      </x:c>
      <x:c r="Q88" s="17" t="str">
        <x:v>https://api.tcgdex.net/v2/zh-tw/cards/SV2a-007</x:v>
      </x:c>
      <x:c r="R88" s="17" t="str">
        <x:v>https://assets.tcgdex.net/zh-tw/SV/SV2a/007/high.webp</x:v>
      </x:c>
      <x:c r="S88" s="17" t="str">
        <x:v>C:\Users\hugob\Documents\Projet codage perso\maison-de-carapuce\outputs\019fdbac-bcf2-77a2-b3c8-0e870f4e19fc\images-manquantes-finales\067_ZH-TW_-151_007_.webp</x:v>
      </x:c>
      <x:c r="T88" s="18" t="str">
        <x:v>Une ligne par dessin/langue; impressions et stamps à éclater après contrôle humain</x:v>
      </x:c>
      <x:c r="U88" s="17" t="n">
        <x:v>1</x:v>
      </x:c>
    </x:row>
    <x:row r="89">
      <x:c r="A89" s="17" t="str">
        <x:v>named|ZH-TW|SV2a-170</x:v>
      </x:c>
      <x:c r="B89" s="17" t="str">
        <x:v>Carte nommée Carapuce</x:v>
      </x:c>
      <x:c r="C89" s="17" t="str">
        <x:v>Pokémon TCG physique</x:v>
      </x:c>
      <x:c r="D89" s="17" t="str">
        <x:v>ZH-TW</x:v>
      </x:c>
      <x:c r="E89" s="17" t="str">
        <x:v>TW/HK</x:v>
      </x:c>
      <x:c r="F89" s="18" t="str">
        <x:v>傑尼龜</x:v>
      </x:c>
      <x:c r="G89" s="18" t="str">
        <x:v>寶可夢卡牌151</x:v>
      </x:c>
      <x:c r="H89" s="19" t="n">
        <x:v>2023</x:v>
      </x:c>
      <x:c r="I89" s="17" t="str">
        <x:v>170</x:v>
      </x:c>
      <x:c r="J89" s="17" t="str"/>
      <x:c r="K89" s="17" t="str">
        <x:v>normal</x:v>
      </x:c>
      <x:c r="L89" s="17" t="str">
        <x:v>Manquante</x:v>
      </x:c>
      <x:c r="M89" s="17" t="str">
        <x:v>Non</x:v>
      </x:c>
      <x:c r="N89" s="17" t="str">
        <x:v>☐</x:v>
      </x:c>
      <x:c r="O89" s="17" t="str">
        <x:v>☐</x:v>
      </x:c>
      <x:c r="P89" s="17" t="str">
        <x:v>TCGdex</x:v>
      </x:c>
      <x:c r="Q89" s="17" t="str">
        <x:v>https://api.tcgdex.net/v2/zh-tw/cards/SV2a-170</x:v>
      </x:c>
      <x:c r="R89" s="17"/>
      <x:c r="S89" s="17"/>
      <x:c r="T89" s="18" t="str">
        <x:v>Une ligne par dessin/langue; impressions et stamps à éclater après contrôle humain</x:v>
      </x:c>
      <x:c r="U89" s="17" t="n">
        <x:v>1</x:v>
      </x:c>
    </x:row>
  </x:sheetData>
  <x:mergeCells>
    <x:mergeCell ref="A1:U1"/>
    <x:mergeCell ref="A2:U2"/>
    <x:mergeCell ref="A4:U4"/>
  </x:mergeCells>
  <x:conditionalFormatting sqref="N6:O89">
    <x:cfRule type="containsText" dxfId="0" priority="1" operator="containsText" text="☑"/>
    <x:cfRule type="containsText" dxfId="1" priority="2" operator="containsText" text="☐"/>
  </x:conditionalFormatting>
  <x:conditionalFormatting sqref="M6:M89">
    <x:cfRule type="containsText" dxfId="2" priority="3" operator="containsText" text="Oui"/>
    <x:cfRule type="containsText" dxfId="3" priority="4" operator="containsText" text="Non"/>
  </x:conditionalFormatting>
  <x:conditionalFormatting sqref="U6:U89">
    <x:cfRule type="cellIs" dxfId="4" priority="5" operator="greaterThan">
      <x:formula>1</x:formula>
    </x:cfRule>
  </x:conditionalFormatting>
  <x:dataValidations count="1">
    <x:dataValidation type="list" sqref="N6:O89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8196f1d0cb4d5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9" hidden="0" customWidth="1"/>
    <x:col min="3" max="3" width="24" hidden="0" customWidth="1"/>
    <x:col min="4" max="4" width="30" hidden="0" customWidth="1"/>
    <x:col min="5" max="5" width="9" hidden="0" customWidth="1"/>
    <x:col min="6" max="6" width="14" hidden="0" customWidth="1"/>
    <x:col min="7" max="7" width="24" hidden="0" customWidth="1"/>
    <x:col min="8" max="8" width="50" hidden="0" customWidth="1"/>
    <x:col min="9" max="9" width="42" hidden="0" customWidth="1"/>
    <x:col min="10" max="10" width="18" hidden="0" customWidth="1"/>
    <x:col min="11" max="11" width="20" hidden="0" customWidth="1"/>
    <x:col min="12" max="12" width="50" hidden="0" customWidth="1"/>
  </x:cols>
  <x:sheetData>
    <x:row r="1" ht="32" customHeight="1">
      <x:c r="A1" s="3" t="str">
        <x:v>Images restant à récupérer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8" t="str">
        <x:v>Checklist manuelle demandée : ouvre le lien source, enregistre le bon recto, puis coche les deux validations.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>
      <x:c r="A4" s="22" t="str">
        <x:v>Conseil : nommer l’image avec la clé anti-doublon de la colonne A pour éviter les collisions.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</x:row>
    <x:row r="5" ht="28" customHeight="1">
      <x:c r="A5" s="16" t="str">
        <x:v>Clé anti-doublon</x:v>
      </x:c>
      <x:c r="B5" s="16" t="str">
        <x:v>Langue</x:v>
      </x:c>
      <x:c r="C5" s="16" t="str">
        <x:v>Nom</x:v>
      </x:c>
      <x:c r="D5" s="16" t="str">
        <x:v>Set / série</x:v>
      </x:c>
      <x:c r="E5" s="16" t="str">
        <x:v>Année</x:v>
      </x:c>
      <x:c r="F5" s="16" t="str">
        <x:v>Numéro</x:v>
      </x:c>
      <x:c r="G5" s="16" t="str">
        <x:v>Variante</x:v>
      </x:c>
      <x:c r="H5" s="16" t="str">
        <x:v>Lien où la carte a été vue</x:v>
      </x:c>
      <x:c r="I5" s="16" t="str">
        <x:v>Lien image candidat</x:v>
      </x:c>
      <x:c r="J5" s="16" t="str">
        <x:v>Image enregistrée</x:v>
      </x:c>
      <x:c r="K5" s="16" t="str">
        <x:v>Bonne image confirmée</x:v>
      </x:c>
      <x:c r="L5" s="16" t="str">
        <x:v>Note</x:v>
      </x:c>
    </x:row>
    <x:row r="6">
      <x:c r="A6" t="str">
        <x:v>named|EN|mfb-25</x:v>
      </x:c>
      <x:c r="B6" t="str">
        <x:v>EN</x:v>
      </x:c>
      <x:c r="C6" s="23" t="str">
        <x:v>Squirtle</x:v>
      </x:c>
      <x:c r="D6" s="23" t="str">
        <x:v>My First Battle</x:v>
      </x:c>
      <x:c r="E6" t="n">
        <x:v>2023</x:v>
      </x:c>
      <x:c r="F6" t="str">
        <x:v>25</x:v>
      </x:c>
      <x:c r="G6" t="str">
        <x:v>normal</x:v>
      </x:c>
      <x:c r="H6" t="str">
        <x:v>https://api.tcgdex.net/v2/en/cards/mfb-25</x:v>
      </x:c>
      <x:c r="I6" t="str"/>
      <x:c r="J6" t="str">
        <x:v>☐</x:v>
      </x:c>
      <x:c r="K6" t="str">
        <x:v>☐</x:v>
      </x:c>
      <x:c r="L6" s="23" t="str">
        <x:v>Une ligne par dessin/langue; impressions et stamps à éclater après contrôle humain</x:v>
      </x:c>
    </x:row>
    <x:row r="7">
      <x:c r="A7" t="str">
        <x:v>named|ES|swshp-SWSH233</x:v>
      </x:c>
      <x:c r="B7" t="str">
        <x:v>ES</x:v>
      </x:c>
      <x:c r="C7" s="23" t="str">
        <x:v>Squirtle</x:v>
      </x:c>
      <x:c r="D7" s="23" t="str">
        <x:v>Cartas de promoción ESES</x:v>
      </x:c>
      <x:c r="E7" t="n">
        <x:v>2019</x:v>
      </x:c>
      <x:c r="F7" t="str">
        <x:v>SWSH233</x:v>
      </x:c>
      <x:c r="G7" t="str">
        <x:v>normal</x:v>
      </x:c>
      <x:c r="H7" t="str">
        <x:v>https://api.tcgdex.net/v2/es/cards/swshp-SWSH233</x:v>
      </x:c>
      <x:c r="I7" t="str"/>
      <x:c r="J7" t="str">
        <x:v>☐</x:v>
      </x:c>
      <x:c r="K7" t="str">
        <x:v>☐</x:v>
      </x:c>
      <x:c r="L7" s="23" t="str">
        <x:v>Une ligne par dessin/langue; impressions et stamps à éclater après contrôle humain</x:v>
      </x:c>
    </x:row>
    <x:row r="8">
      <x:c r="A8" t="str">
        <x:v>named|ES|mep-039</x:v>
      </x:c>
      <x:c r="B8" t="str">
        <x:v>ES</x:v>
      </x:c>
      <x:c r="C8" s="23" t="str">
        <x:v>Squirtle</x:v>
      </x:c>
      <x:c r="D8" s="23" t="str">
        <x:v>MEP Black Star Promos</x:v>
      </x:c>
      <x:c r="E8" t="n">
        <x:v>2025</x:v>
      </x:c>
      <x:c r="F8" t="str">
        <x:v>039</x:v>
      </x:c>
      <x:c r="G8" t="str">
        <x:v>holo</x:v>
      </x:c>
      <x:c r="H8" t="str">
        <x:v>https://api.tcgdex.net/v2/es/cards/mep-039</x:v>
      </x:c>
      <x:c r="I8" t="str"/>
      <x:c r="J8" t="str">
        <x:v>☐</x:v>
      </x:c>
      <x:c r="K8" t="str">
        <x:v>☐</x:v>
      </x:c>
      <x:c r="L8" s="23" t="str">
        <x:v>Une ligne par dessin/langue; impressions et stamps à éclater après contrôle humain</x:v>
      </x:c>
    </x:row>
    <x:row r="9">
      <x:c r="A9" t="str">
        <x:v>named|FR|2021swsh-17</x:v>
      </x:c>
      <x:c r="B9" t="str">
        <x:v>FR</x:v>
      </x:c>
      <x:c r="C9" s="23" t="str">
        <x:v>Carapuce</x:v>
      </x:c>
      <x:c r="D9" s="23" t="str">
        <x:v>Collection McDonald's 2021</x:v>
      </x:c>
      <x:c r="E9" t="n">
        <x:v>2021</x:v>
      </x:c>
      <x:c r="F9" t="str">
        <x:v>17</x:v>
      </x:c>
      <x:c r="G9" t="str">
        <x:v>holo, normal</x:v>
      </x:c>
      <x:c r="H9" t="str">
        <x:v>https://api.tcgdex.net/v2/fr/cards/2021swsh-17</x:v>
      </x:c>
      <x:c r="I9" t="str"/>
      <x:c r="J9" t="str">
        <x:v>☐</x:v>
      </x:c>
      <x:c r="K9" t="str">
        <x:v>☐</x:v>
      </x:c>
      <x:c r="L9" s="23" t="str">
        <x:v>Une ligne par dessin/langue; impressions et stamps à éclater après contrôle humain</x:v>
      </x:c>
    </x:row>
    <x:row r="10">
      <x:c r="A10" t="str">
        <x:v>named|ID|SV2a-170</x:v>
      </x:c>
      <x:c r="B10" t="str">
        <x:v>ID</x:v>
      </x:c>
      <x:c r="C10" s="23" t="str">
        <x:v>Squirtle</x:v>
      </x:c>
      <x:c r="D10" s="23" t="str">
        <x:v>Kartu Pokémon 151</x:v>
      </x:c>
      <x:c r="E10" t="n">
        <x:v>2023</x:v>
      </x:c>
      <x:c r="F10" t="str">
        <x:v>170</x:v>
      </x:c>
      <x:c r="G10" t="str">
        <x:v>normal</x:v>
      </x:c>
      <x:c r="H10" t="str">
        <x:v>https://api.tcgdex.net/v2/id/cards/SV2a-170</x:v>
      </x:c>
      <x:c r="I10" t="str"/>
      <x:c r="J10" t="str">
        <x:v>☐</x:v>
      </x:c>
      <x:c r="K10" t="str">
        <x:v>☐</x:v>
      </x:c>
      <x:c r="L10" s="23" t="str">
        <x:v>Une ligne par dessin/langue; impressions et stamps à éclater après contrôle humain</x:v>
      </x:c>
    </x:row>
    <x:row r="11">
      <x:c r="A11" t="str">
        <x:v>named|IT|base1-63</x:v>
      </x:c>
      <x:c r="B11" t="str">
        <x:v>IT</x:v>
      </x:c>
      <x:c r="C11" s="23" t="str">
        <x:v>Squirtle</x:v>
      </x:c>
      <x:c r="D11" s="23" t="str">
        <x:v>Set Base</x:v>
      </x:c>
      <x:c r="E11" t="n">
        <x:v>1999</x:v>
      </x:c>
      <x:c r="F11" t="str">
        <x:v>63</x:v>
      </x:c>
      <x:c r="G11" t="str">
        <x:v>firstEdition, normal</x:v>
      </x:c>
      <x:c r="H11" t="str">
        <x:v>https://api.tcgdex.net/v2/it/cards/base1-63</x:v>
      </x:c>
      <x:c r="I11" t="str"/>
      <x:c r="J11" t="str">
        <x:v>☐</x:v>
      </x:c>
      <x:c r="K11" t="str">
        <x:v>☐</x:v>
      </x:c>
      <x:c r="L11" s="23" t="str">
        <x:v>Une ligne par dessin/langue; impressions et stamps à éclater après contrôle humain</x:v>
      </x:c>
    </x:row>
    <x:row r="12">
      <x:c r="A12" t="str">
        <x:v>named|IT|mep-039</x:v>
      </x:c>
      <x:c r="B12" t="str">
        <x:v>IT</x:v>
      </x:c>
      <x:c r="C12" s="23" t="str">
        <x:v>Squirtle</x:v>
      </x:c>
      <x:c r="D12" s="23" t="str">
        <x:v>MEP Black Star Promos</x:v>
      </x:c>
      <x:c r="E12" t="n">
        <x:v>2025</x:v>
      </x:c>
      <x:c r="F12" t="str">
        <x:v>039</x:v>
      </x:c>
      <x:c r="G12" t="str">
        <x:v>holo</x:v>
      </x:c>
      <x:c r="H12" t="str">
        <x:v>https://api.tcgdex.net/v2/it/cards/mep-039</x:v>
      </x:c>
      <x:c r="I12" t="str"/>
      <x:c r="J12" t="str">
        <x:v>☐</x:v>
      </x:c>
      <x:c r="K12" t="str">
        <x:v>☐</x:v>
      </x:c>
      <x:c r="L12" s="23" t="str">
        <x:v>Une ligne par dessin/langue; impressions et stamps à éclater après contrôle humain</x:v>
      </x:c>
    </x:row>
    <x:row r="13">
      <x:c r="A13" t="str">
        <x:v>named|PT|swshp-SWSH233</x:v>
      </x:c>
      <x:c r="B13" t="str">
        <x:v>PT</x:v>
      </x:c>
      <x:c r="C13" s="23" t="str">
        <x:v>Squirtle</x:v>
      </x:c>
      <x:c r="D13" s="23" t="str">
        <x:v>ESES Promos</x:v>
      </x:c>
      <x:c r="E13" t="n">
        <x:v>2019</x:v>
      </x:c>
      <x:c r="F13" t="str">
        <x:v>SWSH233</x:v>
      </x:c>
      <x:c r="G13" t="str">
        <x:v>normal</x:v>
      </x:c>
      <x:c r="H13" t="str">
        <x:v>https://api.tcgdex.net/v2/pt/cards/swshp-SWSH233</x:v>
      </x:c>
      <x:c r="I13" t="str"/>
      <x:c r="J13" t="str">
        <x:v>☐</x:v>
      </x:c>
      <x:c r="K13" t="str">
        <x:v>☐</x:v>
      </x:c>
      <x:c r="L13" s="23" t="str">
        <x:v>Une ligne par dessin/langue; impressions et stamps à éclater après contrôle humain</x:v>
      </x:c>
    </x:row>
    <x:row r="14">
      <x:c r="A14" t="str">
        <x:v>named|PT|mep-039</x:v>
      </x:c>
      <x:c r="B14" t="str">
        <x:v>PT</x:v>
      </x:c>
      <x:c r="C14" s="23" t="str">
        <x:v>Squirtle</x:v>
      </x:c>
      <x:c r="D14" s="23" t="str">
        <x:v>MEP Black Star Promos</x:v>
      </x:c>
      <x:c r="E14" t="n">
        <x:v>2025</x:v>
      </x:c>
      <x:c r="F14" t="str">
        <x:v>039</x:v>
      </x:c>
      <x:c r="G14" t="str">
        <x:v>holo</x:v>
      </x:c>
      <x:c r="H14" t="str">
        <x:v>https://api.tcgdex.net/v2/pt/cards/mep-039</x:v>
      </x:c>
      <x:c r="I14" t="str"/>
      <x:c r="J14" t="str">
        <x:v>☐</x:v>
      </x:c>
      <x:c r="K14" t="str">
        <x:v>☐</x:v>
      </x:c>
      <x:c r="L14" s="23" t="str">
        <x:v>Une ligne par dessin/langue; impressions et stamps à éclater après contrôle humain</x:v>
      </x:c>
    </x:row>
    <x:row r="15">
      <x:c r="A15" t="str">
        <x:v>named|TH|SV2a-170</x:v>
      </x:c>
      <x:c r="B15" t="str">
        <x:v>TH</x:v>
      </x:c>
      <x:c r="C15" s="23" t="str">
        <x:v>เซนิกาเมะ</x:v>
      </x:c>
      <x:c r="D15" s="23" t="str">
        <x:v>โปเกมอนการ์ด 151</x:v>
      </x:c>
      <x:c r="E15" t="n">
        <x:v>2023</x:v>
      </x:c>
      <x:c r="F15" t="str">
        <x:v>170</x:v>
      </x:c>
      <x:c r="G15" t="str">
        <x:v>normal</x:v>
      </x:c>
      <x:c r="H15" t="str">
        <x:v>https://api.tcgdex.net/v2/th/cards/SV2a-170</x:v>
      </x:c>
      <x:c r="I15" t="str"/>
      <x:c r="J15" t="str">
        <x:v>☐</x:v>
      </x:c>
      <x:c r="K15" t="str">
        <x:v>☐</x:v>
      </x:c>
      <x:c r="L15" s="23" t="str">
        <x:v>Une ligne par dessin/langue; impressions et stamps à éclater après contrôle humain</x:v>
      </x:c>
    </x:row>
    <x:row r="16">
      <x:c r="A16" t="str">
        <x:v>named|ZH-TW|SV2a-170</x:v>
      </x:c>
      <x:c r="B16" t="str">
        <x:v>ZH-TW</x:v>
      </x:c>
      <x:c r="C16" s="23" t="str">
        <x:v>傑尼龜</x:v>
      </x:c>
      <x:c r="D16" s="23" t="str">
        <x:v>寶可夢卡牌151</x:v>
      </x:c>
      <x:c r="E16" t="n">
        <x:v>2023</x:v>
      </x:c>
      <x:c r="F16" t="str">
        <x:v>170</x:v>
      </x:c>
      <x:c r="G16" t="str">
        <x:v>normal</x:v>
      </x:c>
      <x:c r="H16" t="str">
        <x:v>https://api.tcgdex.net/v2/zh-tw/cards/SV2a-170</x:v>
      </x:c>
      <x:c r="I16" t="str"/>
      <x:c r="J16" t="str">
        <x:v>☐</x:v>
      </x:c>
      <x:c r="K16" t="str">
        <x:v>☐</x:v>
      </x:c>
      <x:c r="L16" s="23" t="str">
        <x:v>Une ligne par dessin/langue; impressions et stamps à éclater après contrôle humain</x:v>
      </x:c>
    </x:row>
  </x:sheetData>
  <x:mergeCells>
    <x:mergeCell ref="A1:L1"/>
    <x:mergeCell ref="A2:L2"/>
    <x:mergeCell ref="A4:L4"/>
  </x:mergeCells>
  <x:conditionalFormatting sqref="J6:K16">
    <x:cfRule type="containsText" dxfId="5" priority="1" operator="containsText" text="☑"/>
    <x:cfRule type="containsText" dxfId="6" priority="2" operator="containsText" text="☐"/>
  </x:conditionalFormatting>
  <x:dataValidations count="1">
    <x:dataValidation type="list" sqref="J6:K16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12f80014b548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9" hidden="0" customWidth="1"/>
    <x:col min="3" max="3" width="22" hidden="0" customWidth="1"/>
    <x:col min="4" max="4" width="28" hidden="0" customWidth="1"/>
    <x:col min="5" max="5" width="9" hidden="0" customWidth="1"/>
    <x:col min="6" max="6" width="14" hidden="0" customWidth="1"/>
    <x:col min="7" max="7" width="22" hidden="0" customWidth="1"/>
    <x:col min="8" max="8" width="30" hidden="0" customWidth="1"/>
    <x:col min="9" max="9" width="45" hidden="0" customWidth="1"/>
    <x:col min="10" max="10" width="42" hidden="0" customWidth="1"/>
    <x:col min="11" max="11" width="46" hidden="0" customWidth="1"/>
  </x:cols>
  <x:sheetData>
    <x:row r="1" ht="32" customHeight="1">
      <x:c r="A1" s="3" t="str">
        <x:v>Pokémon TCG Pocket — séparé du physique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8" t="str">
        <x:v>Ces entrées numériques ne doivent pas partager la même clé ni le même total que les cartes physiques imprimées.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5" ht="28" customHeight="1">
      <x:c r="A5" s="16" t="str">
        <x:v>Clé</x:v>
      </x:c>
      <x:c r="B5" s="16" t="str">
        <x:v>Langue</x:v>
      </x:c>
      <x:c r="C5" s="16" t="str">
        <x:v>Nom</x:v>
      </x:c>
      <x:c r="D5" s="16" t="str">
        <x:v>Set</x:v>
      </x:c>
      <x:c r="E5" s="16" t="str">
        <x:v>Année</x:v>
      </x:c>
      <x:c r="F5" s="16" t="str">
        <x:v>Numéro</x:v>
      </x:c>
      <x:c r="G5" s="16" t="str">
        <x:v>Statut</x:v>
      </x:c>
      <x:c r="H5" s="16" t="str">
        <x:v>ID actuel éventuel</x:v>
      </x:c>
      <x:c r="I5" s="16" t="str">
        <x:v>Source</x:v>
      </x:c>
      <x:c r="J5" s="16" t="str">
        <x:v>Image</x:v>
      </x:c>
      <x:c r="K5" s="16" t="str">
        <x:v>Note</x:v>
      </x:c>
    </x:row>
    <x:row r="6">
      <x:c r="A6" t="str">
        <x:v>named|DE|P-A-033</x:v>
      </x:c>
      <x:c r="B6" t="str">
        <x:v>DE</x:v>
      </x:c>
      <x:c r="C6" t="str">
        <x:v>Schiggy</x:v>
      </x:c>
      <x:c r="D6" t="str">
        <x:v>PROMO-A</x:v>
      </x:c>
      <x:c r="E6" t="n">
        <x:v>2024</x:v>
      </x:c>
      <x:c r="F6" t="str">
        <x:v>033</x:v>
      </x:c>
      <x:c r="G6" t="str">
        <x:v>Déjà au catalogue</x:v>
      </x:c>
      <x:c r="H6" t="str">
        <x:v>P-A-DE-2024-033</x:v>
      </x:c>
      <x:c r="I6" t="str">
        <x:v>https://api.tcgdex.net/v2/de/cards/P-A-033</x:v>
      </x:c>
      <x:c r="J6" t="str">
        <x:v>https://assets.tcgdex.net/de/tcgp/P-A/033/high.webp</x:v>
      </x:c>
      <x:c r="K6" s="23" t="str">
        <x:v>Conserver séparé du catalogue physique</x:v>
      </x:c>
    </x:row>
    <x:row r="7">
      <x:c r="A7" t="str">
        <x:v>named|DE|A1-053</x:v>
      </x:c>
      <x:c r="B7" t="str">
        <x:v>DE</x:v>
      </x:c>
      <x:c r="C7" t="str">
        <x:v>Schiggy</x:v>
      </x:c>
      <x:c r="D7" t="str">
        <x:v>Unschlagbare Gene</x:v>
      </x:c>
      <x:c r="E7" t="n">
        <x:v>2024</x:v>
      </x:c>
      <x:c r="F7" t="str">
        <x:v>053</x:v>
      </x:c>
      <x:c r="G7" t="str">
        <x:v>Déjà au catalogue</x:v>
      </x:c>
      <x:c r="H7" t="str">
        <x:v>A1-DE-2024-053</x:v>
      </x:c>
      <x:c r="I7" t="str">
        <x:v>https://api.tcgdex.net/v2/de/cards/A1-053</x:v>
      </x:c>
      <x:c r="J7" t="str">
        <x:v>https://assets.tcgdex.net/de/tcgp/A1/053/high.webp</x:v>
      </x:c>
      <x:c r="K7" s="23" t="str">
        <x:v>Conserver séparé du catalogue physique</x:v>
      </x:c>
    </x:row>
    <x:row r="8">
      <x:c r="A8" t="str">
        <x:v>named|DE|A1-232</x:v>
      </x:c>
      <x:c r="B8" t="str">
        <x:v>DE</x:v>
      </x:c>
      <x:c r="C8" t="str">
        <x:v>Schiggy</x:v>
      </x:c>
      <x:c r="D8" t="str">
        <x:v>Unschlagbare Gene</x:v>
      </x:c>
      <x:c r="E8" t="n">
        <x:v>2024</x:v>
      </x:c>
      <x:c r="F8" t="str">
        <x:v>232</x:v>
      </x:c>
      <x:c r="G8" t="str">
        <x:v>Hors périmètre physique</x:v>
      </x:c>
      <x:c r="H8" t="str"/>
      <x:c r="I8" t="str">
        <x:v>https://api.tcgdex.net/v2/de/cards/A1-232</x:v>
      </x:c>
      <x:c r="J8" t="str">
        <x:v>https://assets.tcgdex.net/de/tcgp/A1/232/high.webp</x:v>
      </x:c>
      <x:c r="K8" s="23" t="str">
        <x:v>Conserver séparé du catalogue physique</x:v>
      </x:c>
    </x:row>
    <x:row r="9">
      <x:c r="A9" t="str">
        <x:v>named|DE|A3-215</x:v>
      </x:c>
      <x:c r="B9" t="str">
        <x:v>DE</x:v>
      </x:c>
      <x:c r="C9" t="str">
        <x:v>Schiggy</x:v>
      </x:c>
      <x:c r="D9" t="str">
        <x:v>Hüter des Firmaments</x:v>
      </x:c>
      <x:c r="E9" t="n">
        <x:v>2025</x:v>
      </x:c>
      <x:c r="F9" t="str">
        <x:v>215</x:v>
      </x:c>
      <x:c r="G9" t="str">
        <x:v>Hors périmètre physique</x:v>
      </x:c>
      <x:c r="H9" t="str"/>
      <x:c r="I9" t="str">
        <x:v>https://api.tcgdex.net/v2/de/cards/A3-215</x:v>
      </x:c>
      <x:c r="J9" t="str">
        <x:v>https://assets.tcgdex.net/de/tcgp/A3/215/high.webp</x:v>
      </x:c>
      <x:c r="K9" s="23" t="str">
        <x:v>Conserver séparé du catalogue physique</x:v>
      </x:c>
    </x:row>
    <x:row r="10">
      <x:c r="A10" t="str">
        <x:v>named|EN|A1-053</x:v>
      </x:c>
      <x:c r="B10" t="str">
        <x:v>EN</x:v>
      </x:c>
      <x:c r="C10" t="str">
        <x:v>Squirtle</x:v>
      </x:c>
      <x:c r="D10" t="str">
        <x:v>Genetic Apex</x:v>
      </x:c>
      <x:c r="E10" t="n">
        <x:v>2024</x:v>
      </x:c>
      <x:c r="F10" t="str">
        <x:v>053</x:v>
      </x:c>
      <x:c r="G10" t="str">
        <x:v>Hors périmètre physique</x:v>
      </x:c>
      <x:c r="H10" t="str"/>
      <x:c r="I10" t="str">
        <x:v>https://api.tcgdex.net/v2/en/cards/A1-053</x:v>
      </x:c>
      <x:c r="J10" t="str">
        <x:v>https://assets.tcgdex.net/en/tcgp/A1/053/high.webp</x:v>
      </x:c>
      <x:c r="K10" s="23" t="str">
        <x:v>Conserver séparé du catalogue physique</x:v>
      </x:c>
    </x:row>
    <x:row r="11">
      <x:c r="A11" t="str">
        <x:v>named|EN|A1-232</x:v>
      </x:c>
      <x:c r="B11" t="str">
        <x:v>EN</x:v>
      </x:c>
      <x:c r="C11" t="str">
        <x:v>Squirtle</x:v>
      </x:c>
      <x:c r="D11" t="str">
        <x:v>Genetic Apex</x:v>
      </x:c>
      <x:c r="E11" t="n">
        <x:v>2024</x:v>
      </x:c>
      <x:c r="F11" t="str">
        <x:v>232</x:v>
      </x:c>
      <x:c r="G11" t="str">
        <x:v>Hors périmètre physique</x:v>
      </x:c>
      <x:c r="H11" t="str"/>
      <x:c r="I11" t="str">
        <x:v>https://api.tcgdex.net/v2/en/cards/A1-232</x:v>
      </x:c>
      <x:c r="J11" t="str">
        <x:v>https://assets.tcgdex.net/en/tcgp/A1/232/high.webp</x:v>
      </x:c>
      <x:c r="K11" s="23" t="str">
        <x:v>Conserver séparé du catalogue physique</x:v>
      </x:c>
    </x:row>
    <x:row r="12">
      <x:c r="A12" t="str">
        <x:v>named|EN|P-A-033</x:v>
      </x:c>
      <x:c r="B12" t="str">
        <x:v>EN</x:v>
      </x:c>
      <x:c r="C12" t="str">
        <x:v>Squirtle</x:v>
      </x:c>
      <x:c r="D12" t="str">
        <x:v>Promos-A</x:v>
      </x:c>
      <x:c r="E12" t="n">
        <x:v>2024</x:v>
      </x:c>
      <x:c r="F12" t="str">
        <x:v>033</x:v>
      </x:c>
      <x:c r="G12" t="str">
        <x:v>Hors périmètre physique</x:v>
      </x:c>
      <x:c r="H12" t="str"/>
      <x:c r="I12" t="str">
        <x:v>https://api.tcgdex.net/v2/en/cards/P-A-033</x:v>
      </x:c>
      <x:c r="J12" t="str">
        <x:v>https://assets.tcgdex.net/en/tcgp/P-A/033/high.webp</x:v>
      </x:c>
      <x:c r="K12" s="23" t="str">
        <x:v>Conserver séparé du catalogue physique</x:v>
      </x:c>
    </x:row>
    <x:row r="13">
      <x:c r="A13" t="str">
        <x:v>named|EN|A3-215</x:v>
      </x:c>
      <x:c r="B13" t="str">
        <x:v>EN</x:v>
      </x:c>
      <x:c r="C13" t="str">
        <x:v>Squirtle</x:v>
      </x:c>
      <x:c r="D13" t="str">
        <x:v>Celestial Guardians</x:v>
      </x:c>
      <x:c r="E13" t="n">
        <x:v>2025</x:v>
      </x:c>
      <x:c r="F13" t="str">
        <x:v>215</x:v>
      </x:c>
      <x:c r="G13" t="str">
        <x:v>Hors périmètre physique</x:v>
      </x:c>
      <x:c r="H13" t="str"/>
      <x:c r="I13" t="str">
        <x:v>https://api.tcgdex.net/v2/en/cards/A3-215</x:v>
      </x:c>
      <x:c r="J13" t="str">
        <x:v>https://assets.tcgdex.net/en/tcgp/A3/215/high.webp</x:v>
      </x:c>
      <x:c r="K13" s="23" t="str">
        <x:v>Conserver séparé du catalogue physique</x:v>
      </x:c>
    </x:row>
    <x:row r="14">
      <x:c r="A14" t="str">
        <x:v>named|EN|B1a-017</x:v>
      </x:c>
      <x:c r="B14" t="str">
        <x:v>EN</x:v>
      </x:c>
      <x:c r="C14" t="str">
        <x:v>Squirtle</x:v>
      </x:c>
      <x:c r="D14" t="str">
        <x:v>Crimson Blaze</x:v>
      </x:c>
      <x:c r="E14" t="n">
        <x:v>2025</x:v>
      </x:c>
      <x:c r="F14" t="str">
        <x:v>017</x:v>
      </x:c>
      <x:c r="G14" t="str">
        <x:v>Hors périmètre physique</x:v>
      </x:c>
      <x:c r="H14" t="str"/>
      <x:c r="I14" t="str">
        <x:v>https://api.tcgdex.net/v2/en/cards/B1a-017</x:v>
      </x:c>
      <x:c r="J14" t="str">
        <x:v>https://assets.tcgdex.net/en/tcgp/B1a/017/high.webp</x:v>
      </x:c>
      <x:c r="K14" s="23" t="str">
        <x:v>Conserver séparé du catalogue physique</x:v>
      </x:c>
    </x:row>
    <x:row r="15">
      <x:c r="A15" t="str">
        <x:v>named|ES|A1-053</x:v>
      </x:c>
      <x:c r="B15" t="str">
        <x:v>ES</x:v>
      </x:c>
      <x:c r="C15" t="str">
        <x:v>Squirtle</x:v>
      </x:c>
      <x:c r="D15" t="str">
        <x:v>Genes Formidables</x:v>
      </x:c>
      <x:c r="E15" t="n">
        <x:v>2024</x:v>
      </x:c>
      <x:c r="F15" t="str">
        <x:v>053</x:v>
      </x:c>
      <x:c r="G15" t="str">
        <x:v>Hors périmètre physique</x:v>
      </x:c>
      <x:c r="H15" t="str"/>
      <x:c r="I15" t="str">
        <x:v>https://api.tcgdex.net/v2/es/cards/A1-053</x:v>
      </x:c>
      <x:c r="J15" t="str">
        <x:v>https://assets.tcgdex.net/es/tcgp/A1/053/high.webp</x:v>
      </x:c>
      <x:c r="K15" s="23" t="str">
        <x:v>Conserver séparé du catalogue physique</x:v>
      </x:c>
    </x:row>
    <x:row r="16">
      <x:c r="A16" t="str">
        <x:v>named|ES|A1-232</x:v>
      </x:c>
      <x:c r="B16" t="str">
        <x:v>ES</x:v>
      </x:c>
      <x:c r="C16" t="str">
        <x:v>Squirtle</x:v>
      </x:c>
      <x:c r="D16" t="str">
        <x:v>Genes Formidables</x:v>
      </x:c>
      <x:c r="E16" t="n">
        <x:v>2024</x:v>
      </x:c>
      <x:c r="F16" t="str">
        <x:v>232</x:v>
      </x:c>
      <x:c r="G16" t="str">
        <x:v>Hors périmètre physique</x:v>
      </x:c>
      <x:c r="H16" t="str"/>
      <x:c r="I16" t="str">
        <x:v>https://api.tcgdex.net/v2/es/cards/A1-232</x:v>
      </x:c>
      <x:c r="J16" t="str">
        <x:v>https://assets.tcgdex.net/es/tcgp/A1/232/high.webp</x:v>
      </x:c>
      <x:c r="K16" s="23" t="str">
        <x:v>Conserver séparé du catalogue physique</x:v>
      </x:c>
    </x:row>
    <x:row r="17">
      <x:c r="A17" t="str">
        <x:v>named|ES|P-A-033</x:v>
      </x:c>
      <x:c r="B17" t="str">
        <x:v>ES</x:v>
      </x:c>
      <x:c r="C17" t="str">
        <x:v>Squirtle</x:v>
      </x:c>
      <x:c r="D17" t="str">
        <x:v>Promo-A</x:v>
      </x:c>
      <x:c r="E17" t="n">
        <x:v>2024</x:v>
      </x:c>
      <x:c r="F17" t="str">
        <x:v>033</x:v>
      </x:c>
      <x:c r="G17" t="str">
        <x:v>Hors périmètre physique</x:v>
      </x:c>
      <x:c r="H17" t="str"/>
      <x:c r="I17" t="str">
        <x:v>https://api.tcgdex.net/v2/es/cards/P-A-033</x:v>
      </x:c>
      <x:c r="J17" t="str">
        <x:v>https://assets.tcgdex.net/es/tcgp/P-A/033/high.webp</x:v>
      </x:c>
      <x:c r="K17" s="23" t="str">
        <x:v>Conserver séparé du catalogue physique</x:v>
      </x:c>
    </x:row>
    <x:row r="18">
      <x:c r="A18" t="str">
        <x:v>named|ES|A3-215</x:v>
      </x:c>
      <x:c r="B18" t="str">
        <x:v>ES</x:v>
      </x:c>
      <x:c r="C18" t="str">
        <x:v>Squirtle</x:v>
      </x:c>
      <x:c r="D18" t="str">
        <x:v>Guardianes Celestiales</x:v>
      </x:c>
      <x:c r="E18" t="n">
        <x:v>2025</x:v>
      </x:c>
      <x:c r="F18" t="str">
        <x:v>215</x:v>
      </x:c>
      <x:c r="G18" t="str">
        <x:v>Hors périmètre physique</x:v>
      </x:c>
      <x:c r="H18" t="str"/>
      <x:c r="I18" t="str">
        <x:v>https://api.tcgdex.net/v2/es/cards/A3-215</x:v>
      </x:c>
      <x:c r="J18" t="str">
        <x:v>https://assets.tcgdex.net/es/tcgp/A3/215/high.webp</x:v>
      </x:c>
      <x:c r="K18" s="23" t="str">
        <x:v>Conserver séparé du catalogue physique</x:v>
      </x:c>
    </x:row>
    <x:row r="19">
      <x:c r="A19" t="str">
        <x:v>named|FR|P-A-033</x:v>
      </x:c>
      <x:c r="B19" t="str">
        <x:v>FR</x:v>
      </x:c>
      <x:c r="C19" t="str">
        <x:v>Carapuce</x:v>
      </x:c>
      <x:c r="D19" t="str">
        <x:v>Promo-A</x:v>
      </x:c>
      <x:c r="E19" t="n">
        <x:v>2024</x:v>
      </x:c>
      <x:c r="F19" t="str">
        <x:v>033</x:v>
      </x:c>
      <x:c r="G19" t="str">
        <x:v>Hors périmètre physique</x:v>
      </x:c>
      <x:c r="H19" t="str"/>
      <x:c r="I19" t="str">
        <x:v>https://api.tcgdex.net/v2/fr/cards/P-A-033</x:v>
      </x:c>
      <x:c r="J19" t="str">
        <x:v>https://assets.tcgdex.net/fr/tcgp/P-A/033/high.webp</x:v>
      </x:c>
      <x:c r="K19" s="23" t="str">
        <x:v>Conserver séparé du catalogue physique</x:v>
      </x:c>
    </x:row>
    <x:row r="20">
      <x:c r="A20" t="str">
        <x:v>named|FR|A1-053</x:v>
      </x:c>
      <x:c r="B20" t="str">
        <x:v>FR</x:v>
      </x:c>
      <x:c r="C20" t="str">
        <x:v>Carapuce</x:v>
      </x:c>
      <x:c r="D20" t="str">
        <x:v>Puissance Génétique</x:v>
      </x:c>
      <x:c r="E20" t="n">
        <x:v>2024</x:v>
      </x:c>
      <x:c r="F20" t="str">
        <x:v>053</x:v>
      </x:c>
      <x:c r="G20" t="str">
        <x:v>Hors périmètre physique</x:v>
      </x:c>
      <x:c r="H20" t="str"/>
      <x:c r="I20" t="str">
        <x:v>https://api.tcgdex.net/v2/fr/cards/A1-053</x:v>
      </x:c>
      <x:c r="J20" t="str">
        <x:v>https://assets.tcgdex.net/fr/tcgp/A1/053/high.webp</x:v>
      </x:c>
      <x:c r="K20" s="23" t="str">
        <x:v>Conserver séparé du catalogue physique</x:v>
      </x:c>
    </x:row>
    <x:row r="21">
      <x:c r="A21" t="str">
        <x:v>named|FR|A1-232</x:v>
      </x:c>
      <x:c r="B21" t="str">
        <x:v>FR</x:v>
      </x:c>
      <x:c r="C21" t="str">
        <x:v>Carapuce</x:v>
      </x:c>
      <x:c r="D21" t="str">
        <x:v>Puissance Génétique</x:v>
      </x:c>
      <x:c r="E21" t="n">
        <x:v>2024</x:v>
      </x:c>
      <x:c r="F21" t="str">
        <x:v>232</x:v>
      </x:c>
      <x:c r="G21" t="str">
        <x:v>Hors périmètre physique</x:v>
      </x:c>
      <x:c r="H21" t="str"/>
      <x:c r="I21" t="str">
        <x:v>https://api.tcgdex.net/v2/fr/cards/A1-232</x:v>
      </x:c>
      <x:c r="J21" t="str">
        <x:v>https://assets.tcgdex.net/fr/tcgp/A1/232/high.webp</x:v>
      </x:c>
      <x:c r="K21" s="23" t="str">
        <x:v>Conserver séparé du catalogue physique</x:v>
      </x:c>
    </x:row>
    <x:row r="22">
      <x:c r="A22" t="str">
        <x:v>named|FR|A3-215</x:v>
      </x:c>
      <x:c r="B22" t="str">
        <x:v>FR</x:v>
      </x:c>
      <x:c r="C22" t="str">
        <x:v>Carapuce</x:v>
      </x:c>
      <x:c r="D22" t="str">
        <x:v>Gardiens Astraux</x:v>
      </x:c>
      <x:c r="E22" t="n">
        <x:v>2025</x:v>
      </x:c>
      <x:c r="F22" t="str">
        <x:v>215</x:v>
      </x:c>
      <x:c r="G22" t="str">
        <x:v>Hors périmètre physique</x:v>
      </x:c>
      <x:c r="H22" t="str"/>
      <x:c r="I22" t="str">
        <x:v>https://api.tcgdex.net/v2/fr/cards/A3-215</x:v>
      </x:c>
      <x:c r="J22" t="str">
        <x:v>https://assets.tcgdex.net/fr/tcgp/A3/215/high.webp</x:v>
      </x:c>
      <x:c r="K22" s="23" t="str">
        <x:v>Conserver séparé du catalogue physique</x:v>
      </x:c>
    </x:row>
    <x:row r="23">
      <x:c r="A23" t="str">
        <x:v>named|FR|A4-152</x:v>
      </x:c>
      <x:c r="B23" t="str">
        <x:v>FR</x:v>
      </x:c>
      <x:c r="C23" t="str">
        <x:v>Carapuce à O</x:v>
      </x:c>
      <x:c r="D23" t="str">
        <x:v>Sagesse Entre Ciel et Mer</x:v>
      </x:c>
      <x:c r="E23" t="n">
        <x:v>2025</x:v>
      </x:c>
      <x:c r="F23" t="str">
        <x:v>152</x:v>
      </x:c>
      <x:c r="G23" t="str">
        <x:v>Hors périmètre physique</x:v>
      </x:c>
      <x:c r="H23" t="str"/>
      <x:c r="I23" t="str">
        <x:v>https://api.tcgdex.net/v2/fr/cards/A4-152</x:v>
      </x:c>
      <x:c r="J23"/>
      <x:c r="K23" s="23" t="str">
        <x:v>Conserver séparé du catalogue physique</x:v>
      </x:c>
    </x:row>
    <x:row r="24">
      <x:c r="A24" t="str">
        <x:v>named|IT|A1-053</x:v>
      </x:c>
      <x:c r="B24" t="str">
        <x:v>IT</x:v>
      </x:c>
      <x:c r="C24" t="str">
        <x:v>Squirtle</x:v>
      </x:c>
      <x:c r="D24" t="str">
        <x:v>Geni Supremi</x:v>
      </x:c>
      <x:c r="E24" t="n">
        <x:v>2024</x:v>
      </x:c>
      <x:c r="F24" t="str">
        <x:v>053</x:v>
      </x:c>
      <x:c r="G24" t="str">
        <x:v>Hors périmètre physique</x:v>
      </x:c>
      <x:c r="H24" t="str"/>
      <x:c r="I24" t="str">
        <x:v>https://api.tcgdex.net/v2/it/cards/A1-053</x:v>
      </x:c>
      <x:c r="J24" t="str">
        <x:v>https://assets.tcgdex.net/it/tcgp/A1/053/high.webp</x:v>
      </x:c>
      <x:c r="K24" s="23" t="str">
        <x:v>Conserver séparé du catalogue physique</x:v>
      </x:c>
    </x:row>
    <x:row r="25">
      <x:c r="A25" t="str">
        <x:v>named|IT|A1-232</x:v>
      </x:c>
      <x:c r="B25" t="str">
        <x:v>IT</x:v>
      </x:c>
      <x:c r="C25" t="str">
        <x:v>Squirtle</x:v>
      </x:c>
      <x:c r="D25" t="str">
        <x:v>Geni Supremi</x:v>
      </x:c>
      <x:c r="E25" t="n">
        <x:v>2024</x:v>
      </x:c>
      <x:c r="F25" t="str">
        <x:v>232</x:v>
      </x:c>
      <x:c r="G25" t="str">
        <x:v>Hors périmètre physique</x:v>
      </x:c>
      <x:c r="H25" t="str"/>
      <x:c r="I25" t="str">
        <x:v>https://api.tcgdex.net/v2/it/cards/A1-232</x:v>
      </x:c>
      <x:c r="J25" t="str">
        <x:v>https://assets.tcgdex.net/it/tcgp/A1/232/high.webp</x:v>
      </x:c>
      <x:c r="K25" s="23" t="str">
        <x:v>Conserver séparé du catalogue physique</x:v>
      </x:c>
    </x:row>
    <x:row r="26">
      <x:c r="A26" t="str">
        <x:v>named|IT|P-A-033</x:v>
      </x:c>
      <x:c r="B26" t="str">
        <x:v>IT</x:v>
      </x:c>
      <x:c r="C26" t="str">
        <x:v>Squirtle</x:v>
      </x:c>
      <x:c r="D26" t="str">
        <x:v>Promo-A</x:v>
      </x:c>
      <x:c r="E26" t="n">
        <x:v>2024</x:v>
      </x:c>
      <x:c r="F26" t="str">
        <x:v>033</x:v>
      </x:c>
      <x:c r="G26" t="str">
        <x:v>Hors périmètre physique</x:v>
      </x:c>
      <x:c r="H26" t="str"/>
      <x:c r="I26" t="str">
        <x:v>https://api.tcgdex.net/v2/it/cards/P-A-033</x:v>
      </x:c>
      <x:c r="J26" t="str">
        <x:v>https://assets.tcgdex.net/it/tcgp/P-A/033/high.webp</x:v>
      </x:c>
      <x:c r="K26" s="23" t="str">
        <x:v>Conserver séparé du catalogue physique</x:v>
      </x:c>
    </x:row>
    <x:row r="27">
      <x:c r="A27" t="str">
        <x:v>named|IT|A3-215</x:v>
      </x:c>
      <x:c r="B27" t="str">
        <x:v>IT</x:v>
      </x:c>
      <x:c r="C27" t="str">
        <x:v>Squirtle</x:v>
      </x:c>
      <x:c r="D27" t="str">
        <x:v>Guardiani Astrali</x:v>
      </x:c>
      <x:c r="E27" t="n">
        <x:v>2025</x:v>
      </x:c>
      <x:c r="F27" t="str">
        <x:v>215</x:v>
      </x:c>
      <x:c r="G27" t="str">
        <x:v>Hors périmètre physique</x:v>
      </x:c>
      <x:c r="H27" t="str"/>
      <x:c r="I27" t="str">
        <x:v>https://api.tcgdex.net/v2/it/cards/A3-215</x:v>
      </x:c>
      <x:c r="J27" t="str">
        <x:v>https://assets.tcgdex.net/it/tcgp/A3/215/high.webp</x:v>
      </x:c>
      <x:c r="K27" s="23" t="str">
        <x:v>Conserver séparé du catalogue physique</x:v>
      </x:c>
    </x:row>
  </x:sheetData>
  <x:mergeCells>
    <x:mergeCell ref="A1:K1"/>
    <x:mergeCell ref="A2:K2"/>
  </x:mergeCells>
  <x:conditionalFormatting sqref="G6:G27">
    <x:cfRule type="containsText" dxfId="7" priority="1" operator="containsText" text="Déjà"/>
  </x:conditionalFormatting>
  <x:pageMargins left="0.7" right="0.7" top="0.75" bottom="0.75" header="0.3" footer="0.3"/>
  <x:tableParts count="1">
    <x:tablePart xmlns:r="http://schemas.openxmlformats.org/officeDocument/2006/relationships" r:id="R2223b8f8c8e94ab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9" hidden="0" customWidth="1"/>
    <x:col min="3" max="3" width="9" hidden="0" customWidth="1"/>
    <x:col min="4" max="4" width="32" hidden="0" customWidth="1"/>
    <x:col min="5" max="5" width="9" hidden="0" customWidth="1"/>
    <x:col min="6" max="6" width="14" hidden="0" customWidth="1"/>
    <x:col min="7" max="7" width="18" hidden="0" customWidth="1"/>
    <x:col min="8" max="8" width="20" hidden="0" customWidth="1"/>
    <x:col min="9" max="9" width="44" hidden="0" customWidth="1"/>
    <x:col min="10" max="10" width="14" hidden="0" customWidth="1"/>
    <x:col min="11" max="11" width="14" hidden="0" customWidth="1"/>
    <x:col min="12" max="12" width="14" hidden="0" customWidth="1"/>
    <x:col min="13" max="13" width="42" hidden="0" customWidth="1"/>
    <x:col min="14" max="14" width="42" hidden="0" customWidth="1"/>
    <x:col min="15" max="15" width="11" hidden="0" customWidth="1"/>
    <x:col min="16" max="16" width="42" hidden="0" customWidth="1"/>
  </x:cols>
  <x:sheetData>
    <x:row r="1" ht="32" customHeight="1">
      <x:c r="A1" s="3" t="str">
        <x:v>Catalogue actuel — photographie au 7 août 2026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8" t="str">
        <x:v>Extraction en lecture seule du catalogue public : 160 lignes. Les anomalies sont signalées, rien n’a été modifié en base.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</x:row>
    <x:row r="5" ht="28" customHeight="1">
      <x:c r="A5" s="16" t="str">
        <x:v>ID</x:v>
      </x:c>
      <x:c r="B5" s="16" t="str">
        <x:v>Langue</x:v>
      </x:c>
      <x:c r="C5" s="16" t="str">
        <x:v>Pays</x:v>
      </x:c>
      <x:c r="D5" s="16" t="str">
        <x:v>Set</x:v>
      </x:c>
      <x:c r="E5" s="16" t="str">
        <x:v>Année</x:v>
      </x:c>
      <x:c r="F5" s="16" t="str">
        <x:v>Numéro</x:v>
      </x:c>
      <x:c r="G5" s="16" t="str">
        <x:v>Rareté</x:v>
      </x:c>
      <x:c r="H5" s="16" t="str">
        <x:v>Variante</x:v>
      </x:c>
      <x:c r="I5" s="16" t="str">
        <x:v>Note</x:v>
      </x:c>
      <x:c r="J5" s="16" t="str">
        <x:v>État image</x:v>
      </x:c>
      <x:c r="K5" s="16" t="str">
        <x:v>Pipeline</x:v>
      </x:c>
      <x:c r="L5" s="16" t="str">
        <x:v>Source</x:v>
      </x:c>
      <x:c r="M5" s="16" t="str">
        <x:v>Lien source</x:v>
      </x:c>
      <x:c r="N5" s="16" t="str">
        <x:v>Lien image</x:v>
      </x:c>
      <x:c r="O5" s="16" t="str">
        <x:v>Possédée</x:v>
      </x:c>
      <x:c r="P5" s="16" t="str">
        <x:v>Audit</x:v>
      </x:c>
    </x:row>
    <x:row r="6">
      <x:c r="A6" t="str">
        <x:v>base1-DE-1999-63</x:v>
      </x:c>
      <x:c r="B6" t="str">
        <x:v>DE</x:v>
      </x:c>
      <x:c r="C6" t="str">
        <x:v>DE</x:v>
      </x:c>
      <x:c r="D6" s="23" t="str">
        <x:v>Grundset</x:v>
      </x:c>
      <x:c r="E6" t="n">
        <x:v>1999</x:v>
      </x:c>
      <x:c r="F6" t="str">
        <x:v>63/102</x:v>
      </x:c>
      <x:c r="G6" t="str">
        <x:v>Common</x:v>
      </x:c>
      <x:c r="H6" t="str">
        <x:v>1st Edition</x:v>
      </x:c>
      <x:c r="I6" s="23" t="str"/>
      <x:c r="J6" t="str">
        <x:v>Absente</x:v>
      </x:c>
      <x:c r="K6" t="str">
        <x:v>draft</x:v>
      </x:c>
      <x:c r="L6" t="str">
        <x:v>tcgdex</x:v>
      </x:c>
      <x:c r="M6" t="str">
        <x:v>https://api.tcgdex.net/v2/de/cards/base1-63</x:v>
      </x:c>
      <x:c r="N6"/>
      <x:c r="O6" t="str">
        <x:v>Non</x:v>
      </x:c>
      <x:c r="P6" s="23" t="str"/>
    </x:row>
    <x:row r="7">
      <x:c r="A7" t="str">
        <x:v>base5-DE-2000-68</x:v>
      </x:c>
      <x:c r="B7" t="str">
        <x:v>DE</x:v>
      </x:c>
      <x:c r="C7" t="str">
        <x:v>DE</x:v>
      </x:c>
      <x:c r="D7" s="23" t="str">
        <x:v>Team Rocket</x:v>
      </x:c>
      <x:c r="E7" t="n">
        <x:v>2000</x:v>
      </x:c>
      <x:c r="F7" t="str">
        <x:v>68/82</x:v>
      </x:c>
      <x:c r="G7" t="str">
        <x:v>Common</x:v>
      </x:c>
      <x:c r="H7" t="str">
        <x:v>1st Edition</x:v>
      </x:c>
      <x:c r="I7" s="23" t="str"/>
      <x:c r="J7" t="str">
        <x:v>Absente</x:v>
      </x:c>
      <x:c r="K7" t="str">
        <x:v>draft</x:v>
      </x:c>
      <x:c r="L7" t="str">
        <x:v>tcgdex</x:v>
      </x:c>
      <x:c r="M7" t="str">
        <x:v>https://api.tcgdex.net/v2/de/cards/base5-68</x:v>
      </x:c>
      <x:c r="N7"/>
      <x:c r="O7" t="str">
        <x:v>Non</x:v>
      </x:c>
      <x:c r="P7" s="23" t="str"/>
    </x:row>
    <x:row r="8">
      <x:c r="A8" t="str">
        <x:v>ecard1-DE-2002-131</x:v>
      </x:c>
      <x:c r="B8" t="str">
        <x:v>DE</x:v>
      </x:c>
      <x:c r="C8" t="str">
        <x:v>DE</x:v>
      </x:c>
      <x:c r="D8" s="23" t="str">
        <x:v>Expedition</x:v>
      </x:c>
      <x:c r="E8" t="n">
        <x:v>2002</x:v>
      </x:c>
      <x:c r="F8" t="str">
        <x:v>131/165</x:v>
      </x:c>
      <x:c r="G8" t="str">
        <x:v>Common</x:v>
      </x:c>
      <x:c r="H8" t="str">
        <x:v>Normal</x:v>
      </x:c>
      <x:c r="I8" s="23" t="str"/>
      <x:c r="J8" t="str">
        <x:v>Absente</x:v>
      </x:c>
      <x:c r="K8" t="str">
        <x:v>draft</x:v>
      </x:c>
      <x:c r="L8" t="str">
        <x:v>tcgdex</x:v>
      </x:c>
      <x:c r="M8" t="str">
        <x:v>https://api.tcgdex.net/v2/de/cards/ecard1-131</x:v>
      </x:c>
      <x:c r="N8"/>
      <x:c r="O8" t="str">
        <x:v>Non</x:v>
      </x:c>
      <x:c r="P8" s="23" t="str"/>
    </x:row>
    <x:row r="9">
      <x:c r="A9" t="str">
        <x:v>ecard1-rh-DE-2002-131</x:v>
      </x:c>
      <x:c r="B9" t="str">
        <x:v>DE</x:v>
      </x:c>
      <x:c r="C9" t="str">
        <x:v>DE</x:v>
      </x:c>
      <x:c r="D9" s="23" t="str">
        <x:v>Expedition</x:v>
      </x:c>
      <x:c r="E9" t="n">
        <x:v>2002</x:v>
      </x:c>
      <x:c r="F9" t="str">
        <x:v>131/165</x:v>
      </x:c>
      <x:c r="G9" t="str">
        <x:v>Common</x:v>
      </x:c>
      <x:c r="H9" t="str">
        <x:v>Reverse Holo</x:v>
      </x:c>
      <x:c r="I9" s="23" t="str"/>
      <x:c r="J9" t="str">
        <x:v>Absente</x:v>
      </x:c>
      <x:c r="K9" t="str">
        <x:v>draft</x:v>
      </x:c>
      <x:c r="L9" t="str">
        <x:v>tcgdex</x:v>
      </x:c>
      <x:c r="M9" t="str">
        <x:v>https://api.tcgdex.net/v2/de/cards/ecard1-131</x:v>
      </x:c>
      <x:c r="N9"/>
      <x:c r="O9" t="str">
        <x:v>Non</x:v>
      </x:c>
      <x:c r="P9" s="23" t="str"/>
    </x:row>
    <x:row r="10">
      <x:c r="A10" t="str">
        <x:v>ecard1-DE-2002-132</x:v>
      </x:c>
      <x:c r="B10" t="str">
        <x:v>DE</x:v>
      </x:c>
      <x:c r="C10" t="str">
        <x:v>DE</x:v>
      </x:c>
      <x:c r="D10" s="23" t="str">
        <x:v>Expedition</x:v>
      </x:c>
      <x:c r="E10" t="n">
        <x:v>2002</x:v>
      </x:c>
      <x:c r="F10" t="str">
        <x:v>132/165</x:v>
      </x:c>
      <x:c r="G10" t="str">
        <x:v>Common</x:v>
      </x:c>
      <x:c r="H10" t="str">
        <x:v>Normal</x:v>
      </x:c>
      <x:c r="I10" s="23" t="str"/>
      <x:c r="J10" t="str">
        <x:v>Absente</x:v>
      </x:c>
      <x:c r="K10" t="str">
        <x:v>draft</x:v>
      </x:c>
      <x:c r="L10" t="str">
        <x:v>tcgdex</x:v>
      </x:c>
      <x:c r="M10" t="str">
        <x:v>https://api.tcgdex.net/v2/de/cards/ecard1-132</x:v>
      </x:c>
      <x:c r="N10"/>
      <x:c r="O10" t="str">
        <x:v>Non</x:v>
      </x:c>
      <x:c r="P10" s="23" t="str"/>
    </x:row>
    <x:row r="11">
      <x:c r="A11" t="str">
        <x:v>ecard1-rh-DE-2002-132</x:v>
      </x:c>
      <x:c r="B11" t="str">
        <x:v>DE</x:v>
      </x:c>
      <x:c r="C11" t="str">
        <x:v>DE</x:v>
      </x:c>
      <x:c r="D11" s="23" t="str">
        <x:v>Expedition</x:v>
      </x:c>
      <x:c r="E11" t="n">
        <x:v>2002</x:v>
      </x:c>
      <x:c r="F11" t="str">
        <x:v>132/165</x:v>
      </x:c>
      <x:c r="G11" t="str">
        <x:v>Common</x:v>
      </x:c>
      <x:c r="H11" t="str">
        <x:v>Reverse Holo</x:v>
      </x:c>
      <x:c r="I11" s="23" t="str"/>
      <x:c r="J11" t="str">
        <x:v>Absente</x:v>
      </x:c>
      <x:c r="K11" t="str">
        <x:v>draft</x:v>
      </x:c>
      <x:c r="L11" t="str">
        <x:v>tcgdex</x:v>
      </x:c>
      <x:c r="M11" t="str">
        <x:v>https://api.tcgdex.net/v2/de/cards/ecard1-132</x:v>
      </x:c>
      <x:c r="N11"/>
      <x:c r="O11" t="str">
        <x:v>Non</x:v>
      </x:c>
      <x:c r="P11" s="23" t="str"/>
    </x:row>
    <x:row r="12">
      <x:c r="A12" t="str">
        <x:v>ex6-DE-2004-82</x:v>
      </x:c>
      <x:c r="B12" t="str">
        <x:v>DE</x:v>
      </x:c>
      <x:c r="C12" t="str">
        <x:v>DE</x:v>
      </x:c>
      <x:c r="D12" s="23" t="str">
        <x:v>EX Feuerrot &amp; Blattgrün</x:v>
      </x:c>
      <x:c r="E12" t="n">
        <x:v>2004</x:v>
      </x:c>
      <x:c r="F12" t="str">
        <x:v>82/112</x:v>
      </x:c>
      <x:c r="G12" t="str">
        <x:v>Common</x:v>
      </x:c>
      <x:c r="H12" t="str">
        <x:v>Normal</x:v>
      </x:c>
      <x:c r="I12" s="23" t="str"/>
      <x:c r="J12" t="str">
        <x:v>Absente</x:v>
      </x:c>
      <x:c r="K12" t="str">
        <x:v>draft</x:v>
      </x:c>
      <x:c r="L12" t="str">
        <x:v>tcgdex</x:v>
      </x:c>
      <x:c r="M12" t="str">
        <x:v>https://api.tcgdex.net/v2/de/cards/ex6-82</x:v>
      </x:c>
      <x:c r="N12"/>
      <x:c r="O12" t="str">
        <x:v>Non</x:v>
      </x:c>
      <x:c r="P12" s="23" t="str"/>
    </x:row>
    <x:row r="13">
      <x:c r="A13" t="str">
        <x:v>ex6-DE-2004-83</x:v>
      </x:c>
      <x:c r="B13" t="str">
        <x:v>DE</x:v>
      </x:c>
      <x:c r="C13" t="str">
        <x:v>DE</x:v>
      </x:c>
      <x:c r="D13" s="23" t="str">
        <x:v>EX Feuerrot &amp; Blattgrün</x:v>
      </x:c>
      <x:c r="E13" t="n">
        <x:v>2004</x:v>
      </x:c>
      <x:c r="F13" t="str">
        <x:v>83/112</x:v>
      </x:c>
      <x:c r="G13" t="str">
        <x:v>Common</x:v>
      </x:c>
      <x:c r="H13" t="str">
        <x:v>Normal</x:v>
      </x:c>
      <x:c r="I13" s="23" t="str"/>
      <x:c r="J13" t="str">
        <x:v>Absente</x:v>
      </x:c>
      <x:c r="K13" t="str">
        <x:v>draft</x:v>
      </x:c>
      <x:c r="L13" t="str">
        <x:v>tcgdex</x:v>
      </x:c>
      <x:c r="M13" t="str">
        <x:v>https://api.tcgdex.net/v2/de/cards/ex6-83</x:v>
      </x:c>
      <x:c r="N13"/>
      <x:c r="O13" t="str">
        <x:v>Non</x:v>
      </x:c>
      <x:c r="P13" s="23" t="str"/>
    </x:row>
    <x:row r="14">
      <x:c r="A14" t="str">
        <x:v>ex4-DE-2004-46</x:v>
      </x:c>
      <x:c r="B14" t="str">
        <x:v>DE</x:v>
      </x:c>
      <x:c r="C14" t="str">
        <x:v>DE</x:v>
      </x:c>
      <x:c r="D14" s="23" t="str">
        <x:v>EX Team Magma vs Team Aqua</x:v>
      </x:c>
      <x:c r="E14" t="n">
        <x:v>2004</x:v>
      </x:c>
      <x:c r="F14" t="str">
        <x:v>46/95</x:v>
      </x:c>
      <x:c r="G14" t="str">
        <x:v>Common</x:v>
      </x:c>
      <x:c r="H14" t="str">
        <x:v>Normal</x:v>
      </x:c>
      <x:c r="I14" s="23" t="str"/>
      <x:c r="J14" t="str">
        <x:v>Absente</x:v>
      </x:c>
      <x:c r="K14" t="str">
        <x:v>draft</x:v>
      </x:c>
      <x:c r="L14" t="str">
        <x:v>tcgdex</x:v>
      </x:c>
      <x:c r="M14" t="str">
        <x:v>https://api.tcgdex.net/v2/de/cards/ex4-46</x:v>
      </x:c>
      <x:c r="N14"/>
      <x:c r="O14" t="str">
        <x:v>Non</x:v>
      </x:c>
      <x:c r="P14" s="23" t="str"/>
    </x:row>
    <x:row r="15">
      <x:c r="A15" t="str">
        <x:v>ex4-rh-DE-2004-46</x:v>
      </x:c>
      <x:c r="B15" t="str">
        <x:v>DE</x:v>
      </x:c>
      <x:c r="C15" t="str">
        <x:v>DE</x:v>
      </x:c>
      <x:c r="D15" s="23" t="str">
        <x:v>EX Team Magma vs Team Aqua</x:v>
      </x:c>
      <x:c r="E15" t="n">
        <x:v>2004</x:v>
      </x:c>
      <x:c r="F15" t="str">
        <x:v>46/95</x:v>
      </x:c>
      <x:c r="G15" t="str">
        <x:v>Common</x:v>
      </x:c>
      <x:c r="H15" t="str">
        <x:v>Reverse Holo</x:v>
      </x:c>
      <x:c r="I15" s="23" t="str"/>
      <x:c r="J15" t="str">
        <x:v>Absente</x:v>
      </x:c>
      <x:c r="K15" t="str">
        <x:v>draft</x:v>
      </x:c>
      <x:c r="L15" t="str">
        <x:v>tcgdex</x:v>
      </x:c>
      <x:c r="M15" t="str">
        <x:v>https://api.tcgdex.net/v2/de/cards/ex4-46</x:v>
      </x:c>
      <x:c r="N15"/>
      <x:c r="O15" t="str">
        <x:v>Non</x:v>
      </x:c>
      <x:c r="P15" s="23" t="str"/>
    </x:row>
    <x:row r="16">
      <x:c r="A16" t="str">
        <x:v>ex14-DE-2006-63</x:v>
      </x:c>
      <x:c r="B16" t="str">
        <x:v>DE</x:v>
      </x:c>
      <x:c r="C16" t="str">
        <x:v>DE</x:v>
      </x:c>
      <x:c r="D16" s="23" t="str">
        <x:v>EX Crystal Guardians</x:v>
      </x:c>
      <x:c r="E16" t="n">
        <x:v>2006</x:v>
      </x:c>
      <x:c r="F16" t="str">
        <x:v>63/100</x:v>
      </x:c>
      <x:c r="G16" t="str">
        <x:v>Common</x:v>
      </x:c>
      <x:c r="H16" t="str">
        <x:v>Normal</x:v>
      </x:c>
      <x:c r="I16" s="23" t="str"/>
      <x:c r="J16" t="str">
        <x:v>Absente</x:v>
      </x:c>
      <x:c r="K16" t="str">
        <x:v>draft</x:v>
      </x:c>
      <x:c r="L16" t="str">
        <x:v>tcgdex</x:v>
      </x:c>
      <x:c r="M16" t="str">
        <x:v>https://api.tcgdex.net/v2/de/cards/ex14-63</x:v>
      </x:c>
      <x:c r="N16"/>
      <x:c r="O16" t="str">
        <x:v>Non</x:v>
      </x:c>
      <x:c r="P16" s="23" t="str"/>
    </x:row>
    <x:row r="17">
      <x:c r="A17" t="str">
        <x:v>ex14-DE-2006-64</x:v>
      </x:c>
      <x:c r="B17" t="str">
        <x:v>DE</x:v>
      </x:c>
      <x:c r="C17" t="str">
        <x:v>DE</x:v>
      </x:c>
      <x:c r="D17" s="23" t="str">
        <x:v>EX Crystal Guardians</x:v>
      </x:c>
      <x:c r="E17" t="n">
        <x:v>2006</x:v>
      </x:c>
      <x:c r="F17" t="str">
        <x:v>64/100</x:v>
      </x:c>
      <x:c r="G17" t="str">
        <x:v>Common</x:v>
      </x:c>
      <x:c r="H17" t="str">
        <x:v>Normal</x:v>
      </x:c>
      <x:c r="I17" s="23" t="str"/>
      <x:c r="J17" t="str">
        <x:v>Absente</x:v>
      </x:c>
      <x:c r="K17" t="str">
        <x:v>draft</x:v>
      </x:c>
      <x:c r="L17" t="str">
        <x:v>tcgdex</x:v>
      </x:c>
      <x:c r="M17" t="str">
        <x:v>https://api.tcgdex.net/v2/de/cards/ex14-64</x:v>
      </x:c>
      <x:c r="N17"/>
      <x:c r="O17" t="str">
        <x:v>Non</x:v>
      </x:c>
      <x:c r="P17" s="23" t="str"/>
    </x:row>
    <x:row r="18">
      <x:c r="A18" t="str">
        <x:v>dp3-DE-2007-112</x:v>
      </x:c>
      <x:c r="B18" t="str">
        <x:v>DE</x:v>
      </x:c>
      <x:c r="C18" t="str">
        <x:v>DE</x:v>
      </x:c>
      <x:c r="D18" s="23" t="str">
        <x:v>Rätselhafte Wunder</x:v>
      </x:c>
      <x:c r="E18" t="n">
        <x:v>2007</x:v>
      </x:c>
      <x:c r="F18" t="str">
        <x:v>112/132</x:v>
      </x:c>
      <x:c r="G18" t="str">
        <x:v>Common</x:v>
      </x:c>
      <x:c r="H18" t="str">
        <x:v>Normal</x:v>
      </x:c>
      <x:c r="I18" s="23" t="str"/>
      <x:c r="J18" t="str">
        <x:v>Absente</x:v>
      </x:c>
      <x:c r="K18" t="str">
        <x:v>draft</x:v>
      </x:c>
      <x:c r="L18" t="str">
        <x:v>tcgdex</x:v>
      </x:c>
      <x:c r="M18" t="str">
        <x:v>https://api.tcgdex.net/v2/de/cards/dp3-112</x:v>
      </x:c>
      <x:c r="N18"/>
      <x:c r="O18" t="str">
        <x:v>Non</x:v>
      </x:c>
      <x:c r="P18" s="23" t="str"/>
    </x:row>
    <x:row r="19">
      <x:c r="A19" t="str">
        <x:v>dp3-rh-DE-2007-112</x:v>
      </x:c>
      <x:c r="B19" t="str">
        <x:v>DE</x:v>
      </x:c>
      <x:c r="C19" t="str">
        <x:v>DE</x:v>
      </x:c>
      <x:c r="D19" s="23" t="str">
        <x:v>Rätselhafte Wunder</x:v>
      </x:c>
      <x:c r="E19" t="n">
        <x:v>2007</x:v>
      </x:c>
      <x:c r="F19" t="str">
        <x:v>112/132</x:v>
      </x:c>
      <x:c r="G19" t="str">
        <x:v>Common</x:v>
      </x:c>
      <x:c r="H19" t="str">
        <x:v>Reverse Holo</x:v>
      </x:c>
      <x:c r="I19" s="23" t="str"/>
      <x:c r="J19" t="str">
        <x:v>Absente</x:v>
      </x:c>
      <x:c r="K19" t="str">
        <x:v>draft</x:v>
      </x:c>
      <x:c r="L19" t="str">
        <x:v>tcgdex</x:v>
      </x:c>
      <x:c r="M19" t="str">
        <x:v>https://api.tcgdex.net/v2/de/cards/dp3-112</x:v>
      </x:c>
      <x:c r="N19"/>
      <x:c r="O19" t="str">
        <x:v>Non</x:v>
      </x:c>
      <x:c r="P19" s="23" t="str"/>
    </x:row>
    <x:row r="20">
      <x:c r="A20" t="str">
        <x:v>pl1-DE-2009-96</x:v>
      </x:c>
      <x:c r="B20" t="str">
        <x:v>DE</x:v>
      </x:c>
      <x:c r="C20" t="str">
        <x:v>DE</x:v>
      </x:c>
      <x:c r="D20" s="23" t="str">
        <x:v>Platin</x:v>
      </x:c>
      <x:c r="E20" t="n">
        <x:v>2009</x:v>
      </x:c>
      <x:c r="F20" t="str">
        <x:v>96/127</x:v>
      </x:c>
      <x:c r="G20" t="str">
        <x:v>Common</x:v>
      </x:c>
      <x:c r="H20" t="str">
        <x:v>Normal</x:v>
      </x:c>
      <x:c r="I20" s="23" t="str"/>
      <x:c r="J20" t="str">
        <x:v>Absente</x:v>
      </x:c>
      <x:c r="K20" t="str">
        <x:v>draft</x:v>
      </x:c>
      <x:c r="L20" t="str">
        <x:v>tcgdex</x:v>
      </x:c>
      <x:c r="M20" t="str">
        <x:v>https://api.tcgdex.net/v2/de/cards/pl1-96</x:v>
      </x:c>
      <x:c r="N20"/>
      <x:c r="O20" t="str">
        <x:v>Non</x:v>
      </x:c>
      <x:c r="P20" s="23" t="str"/>
    </x:row>
    <x:row r="21">
      <x:c r="A21" t="str">
        <x:v>pl1-rh-DE-2009-96</x:v>
      </x:c>
      <x:c r="B21" t="str">
        <x:v>DE</x:v>
      </x:c>
      <x:c r="C21" t="str">
        <x:v>DE</x:v>
      </x:c>
      <x:c r="D21" s="23" t="str">
        <x:v>Platin</x:v>
      </x:c>
      <x:c r="E21" t="n">
        <x:v>2009</x:v>
      </x:c>
      <x:c r="F21" t="str">
        <x:v>96/127</x:v>
      </x:c>
      <x:c r="G21" t="str">
        <x:v>Common</x:v>
      </x:c>
      <x:c r="H21" t="str">
        <x:v>Reverse Holo</x:v>
      </x:c>
      <x:c r="I21" s="23" t="str"/>
      <x:c r="J21" t="str">
        <x:v>Absente</x:v>
      </x:c>
      <x:c r="K21" t="str">
        <x:v>draft</x:v>
      </x:c>
      <x:c r="L21" t="str">
        <x:v>tcgdex</x:v>
      </x:c>
      <x:c r="M21" t="str">
        <x:v>https://api.tcgdex.net/v2/de/cards/pl1-96</x:v>
      </x:c>
      <x:c r="N21"/>
      <x:c r="O21" t="str">
        <x:v>Non</x:v>
      </x:c>
      <x:c r="P21" s="23" t="str"/>
    </x:row>
    <x:row r="22">
      <x:c r="A22" t="str">
        <x:v>hgss2-DE-2010-63</x:v>
      </x:c>
      <x:c r="B22" t="str">
        <x:v>DE</x:v>
      </x:c>
      <x:c r="C22" t="str">
        <x:v>DE</x:v>
      </x:c>
      <x:c r="D22" s="23" t="str">
        <x:v>Entfesselt</x:v>
      </x:c>
      <x:c r="E22" t="n">
        <x:v>2010</x:v>
      </x:c>
      <x:c r="F22" t="str">
        <x:v>63/95</x:v>
      </x:c>
      <x:c r="G22" t="str">
        <x:v>Common</x:v>
      </x:c>
      <x:c r="H22" t="str">
        <x:v>Normal</x:v>
      </x:c>
      <x:c r="I22" s="23" t="str"/>
      <x:c r="J22" t="str">
        <x:v>OK</x:v>
      </x:c>
      <x:c r="K22" t="str">
        <x:v>sourced</x:v>
      </x:c>
      <x:c r="L22" t="str">
        <x:v>tcgdex</x:v>
      </x:c>
      <x:c r="M22" t="str">
        <x:v>https://api.tcgdex.net/v2/de/cards/hgss2-63</x:v>
      </x:c>
      <x:c r="N22" t="str">
        <x:v>https://assets.tcgdex.net/de/hgss/hgss2/63/high.webp</x:v>
      </x:c>
      <x:c r="O22" t="str">
        <x:v>Non</x:v>
      </x:c>
      <x:c r="P22" s="23" t="str"/>
    </x:row>
    <x:row r="23">
      <x:c r="A23" t="str">
        <x:v>hgss2-rh-DE-2010-63</x:v>
      </x:c>
      <x:c r="B23" t="str">
        <x:v>DE</x:v>
      </x:c>
      <x:c r="C23" t="str">
        <x:v>DE</x:v>
      </x:c>
      <x:c r="D23" s="23" t="str">
        <x:v>Entfesselt</x:v>
      </x:c>
      <x:c r="E23" t="n">
        <x:v>2010</x:v>
      </x:c>
      <x:c r="F23" t="str">
        <x:v>63/95</x:v>
      </x:c>
      <x:c r="G23" t="str">
        <x:v>Common</x:v>
      </x:c>
      <x:c r="H23" t="str">
        <x:v>Reverse Holo</x:v>
      </x:c>
      <x:c r="I23" s="23" t="str"/>
      <x:c r="J23" t="str">
        <x:v>OK</x:v>
      </x:c>
      <x:c r="K23" t="str">
        <x:v>sourced</x:v>
      </x:c>
      <x:c r="L23" t="str">
        <x:v>tcgdex</x:v>
      </x:c>
      <x:c r="M23" t="str">
        <x:v>https://api.tcgdex.net/v2/de/cards/hgss2-63</x:v>
      </x:c>
      <x:c r="N23" t="str">
        <x:v>https://assets.tcgdex.net/de/hgss/hgss2/63/high.webp</x:v>
      </x:c>
      <x:c r="O23" t="str">
        <x:v>Non</x:v>
      </x:c>
      <x:c r="P23" s="23" t="str"/>
    </x:row>
    <x:row r="24">
      <x:c r="A24" t="str">
        <x:v>bw7-DE-2012-29</x:v>
      </x:c>
      <x:c r="B24" t="str">
        <x:v>DE</x:v>
      </x:c>
      <x:c r="C24" t="str">
        <x:v>DE</x:v>
      </x:c>
      <x:c r="D24" s="23" t="str">
        <x:v>Überschrittene Schwellen</x:v>
      </x:c>
      <x:c r="E24" t="n">
        <x:v>2012</x:v>
      </x:c>
      <x:c r="F24" t="str">
        <x:v>29/149</x:v>
      </x:c>
      <x:c r="G24" t="str">
        <x:v>Common</x:v>
      </x:c>
      <x:c r="H24" t="str">
        <x:v>Normal</x:v>
      </x:c>
      <x:c r="I24" s="23" t="str"/>
      <x:c r="J24" t="str">
        <x:v>OK</x:v>
      </x:c>
      <x:c r="K24" t="str">
        <x:v>sourced</x:v>
      </x:c>
      <x:c r="L24" t="str">
        <x:v>tcgdex</x:v>
      </x:c>
      <x:c r="M24" t="str">
        <x:v>https://api.tcgdex.net/v2/de/cards/bw7-29</x:v>
      </x:c>
      <x:c r="N24" t="str">
        <x:v>https://assets.tcgdex.net/de/bw/bw7/29/high.webp</x:v>
      </x:c>
      <x:c r="O24" t="str">
        <x:v>Non</x:v>
      </x:c>
      <x:c r="P24" s="23" t="str"/>
    </x:row>
    <x:row r="25">
      <x:c r="A25" t="str">
        <x:v>bw10-DE-2013-14</x:v>
      </x:c>
      <x:c r="B25" t="str">
        <x:v>DE</x:v>
      </x:c>
      <x:c r="C25" t="str">
        <x:v>DE</x:v>
      </x:c>
      <x:c r="D25" s="23" t="str">
        <x:v>Plasma-Blaster</x:v>
      </x:c>
      <x:c r="E25" t="n">
        <x:v>2013</x:v>
      </x:c>
      <x:c r="F25" t="str">
        <x:v>14/101</x:v>
      </x:c>
      <x:c r="G25" t="str">
        <x:v>Common</x:v>
      </x:c>
      <x:c r="H25" t="str">
        <x:v>Normal</x:v>
      </x:c>
      <x:c r="I25" s="23" t="str"/>
      <x:c r="J25" t="str">
        <x:v>OK</x:v>
      </x:c>
      <x:c r="K25" t="str">
        <x:v>sourced</x:v>
      </x:c>
      <x:c r="L25" t="str">
        <x:v>tcgdex</x:v>
      </x:c>
      <x:c r="M25" t="str">
        <x:v>https://api.tcgdex.net/v2/de/cards/bw10-14</x:v>
      </x:c>
      <x:c r="N25" t="str">
        <x:v>https://assets.tcgdex.net/de/bw/bw10/14/high.webp</x:v>
      </x:c>
      <x:c r="O25" t="str">
        <x:v>Non</x:v>
      </x:c>
      <x:c r="P25" s="23" t="str"/>
    </x:row>
    <x:row r="26">
      <x:c r="A26" t="str">
        <x:v>bw8-DE-2013-24</x:v>
      </x:c>
      <x:c r="B26" t="str">
        <x:v>DE</x:v>
      </x:c>
      <x:c r="C26" t="str">
        <x:v>DE</x:v>
      </x:c>
      <x:c r="D26" s="23" t="str">
        <x:v>Plasma-Sturm</x:v>
      </x:c>
      <x:c r="E26" t="n">
        <x:v>2013</x:v>
      </x:c>
      <x:c r="F26" t="str">
        <x:v>24/135</x:v>
      </x:c>
      <x:c r="G26" t="str">
        <x:v>Common</x:v>
      </x:c>
      <x:c r="H26" t="str">
        <x:v>Normal</x:v>
      </x:c>
      <x:c r="I26" s="23" t="str"/>
      <x:c r="J26" t="str">
        <x:v>OK</x:v>
      </x:c>
      <x:c r="K26" t="str">
        <x:v>sourced</x:v>
      </x:c>
      <x:c r="L26" t="str">
        <x:v>tcgdex</x:v>
      </x:c>
      <x:c r="M26" t="str">
        <x:v>https://api.tcgdex.net/v2/de/cards/bw8-24</x:v>
      </x:c>
      <x:c r="N26" t="str">
        <x:v>https://assets.tcgdex.net/de/bw/bw8/24/high.webp</x:v>
      </x:c>
      <x:c r="O26" t="str">
        <x:v>Non</x:v>
      </x:c>
      <x:c r="P26" s="23" t="str"/>
    </x:row>
    <x:row r="27">
      <x:c r="A27" t="str">
        <x:v>sm10-DE-2019-33</x:v>
      </x:c>
      <x:c r="B27" t="str">
        <x:v>DE</x:v>
      </x:c>
      <x:c r="C27" t="str">
        <x:v>DE</x:v>
      </x:c>
      <x:c r="D27" s="23" t="str">
        <x:v>Kräfte im Einklang</x:v>
      </x:c>
      <x:c r="E27" t="n">
        <x:v>2019</x:v>
      </x:c>
      <x:c r="F27" t="str">
        <x:v>33/214</x:v>
      </x:c>
      <x:c r="G27" t="str">
        <x:v>Common</x:v>
      </x:c>
      <x:c r="H27" t="str">
        <x:v>Normal</x:v>
      </x:c>
      <x:c r="I27" s="23" t="str"/>
      <x:c r="J27" t="str">
        <x:v>OK</x:v>
      </x:c>
      <x:c r="K27" t="str">
        <x:v>sourced</x:v>
      </x:c>
      <x:c r="L27" t="str">
        <x:v>tcgdex</x:v>
      </x:c>
      <x:c r="M27" t="str">
        <x:v>https://api.tcgdex.net/v2/de/cards/sm10-33</x:v>
      </x:c>
      <x:c r="N27" t="str">
        <x:v>https://assets.tcgdex.net/de/sm/sm10/33/high.webp</x:v>
      </x:c>
      <x:c r="O27" t="str">
        <x:v>Non</x:v>
      </x:c>
      <x:c r="P27" s="23" t="str"/>
    </x:row>
    <x:row r="28">
      <x:c r="A28" t="str">
        <x:v>swshp-DE-2019-SWSH233</x:v>
      </x:c>
      <x:c r="B28" t="str">
        <x:v>DE</x:v>
      </x:c>
      <x:c r="C28" t="str">
        <x:v>DE</x:v>
      </x:c>
      <x:c r="D28" s="23" t="str">
        <x:v>SCSC Promokarten</x:v>
      </x:c>
      <x:c r="E28" t="n">
        <x:v>2019</x:v>
      </x:c>
      <x:c r="F28" t="str">
        <x:v>SWSH233</x:v>
      </x:c>
      <x:c r="G28" t="str">
        <x:v>Keine</x:v>
      </x:c>
      <x:c r="H28" t="str">
        <x:v>Normal</x:v>
      </x:c>
      <x:c r="I28" s="23" t="str"/>
      <x:c r="J28" t="str">
        <x:v>Absente</x:v>
      </x:c>
      <x:c r="K28" t="str">
        <x:v>draft</x:v>
      </x:c>
      <x:c r="L28" t="str">
        <x:v>tcgdex</x:v>
      </x:c>
      <x:c r="M28" t="str">
        <x:v>https://api.tcgdex.net/v2/de/cards/swshp-SWSH233</x:v>
      </x:c>
      <x:c r="N28"/>
      <x:c r="O28" t="str">
        <x:v>Non</x:v>
      </x:c>
      <x:c r="P28" s="23" t="str"/>
    </x:row>
    <x:row r="29">
      <x:c r="A29" t="str">
        <x:v>sm9-DE-2019-22</x:v>
      </x:c>
      <x:c r="B29" t="str">
        <x:v>DE</x:v>
      </x:c>
      <x:c r="C29" t="str">
        <x:v>DE</x:v>
      </x:c>
      <x:c r="D29" s="23" t="str">
        <x:v>Teams Sind Trumpf</x:v>
      </x:c>
      <x:c r="E29" t="n">
        <x:v>2019</x:v>
      </x:c>
      <x:c r="F29" t="str">
        <x:v>22/181</x:v>
      </x:c>
      <x:c r="G29" t="str">
        <x:v>Common</x:v>
      </x:c>
      <x:c r="H29" t="str">
        <x:v>Normal</x:v>
      </x:c>
      <x:c r="I29" s="23" t="str"/>
      <x:c r="J29" t="str">
        <x:v>OK</x:v>
      </x:c>
      <x:c r="K29" t="str">
        <x:v>sourced</x:v>
      </x:c>
      <x:c r="L29" t="str">
        <x:v>tcgdex</x:v>
      </x:c>
      <x:c r="M29" t="str">
        <x:v>https://api.tcgdex.net/v2/de/cards/sm9-22</x:v>
      </x:c>
      <x:c r="N29" t="str">
        <x:v>https://assets.tcgdex.net/de/sm/sm9/22/high.webp</x:v>
      </x:c>
      <x:c r="O29" t="str">
        <x:v>Non</x:v>
      </x:c>
      <x:c r="P29" s="23" t="str"/>
    </x:row>
    <x:row r="30">
      <x:c r="A30" t="str">
        <x:v>sm9-DE-2019-23</x:v>
      </x:c>
      <x:c r="B30" t="str">
        <x:v>DE</x:v>
      </x:c>
      <x:c r="C30" t="str">
        <x:v>DE</x:v>
      </x:c>
      <x:c r="D30" s="23" t="str">
        <x:v>Teams Sind Trumpf</x:v>
      </x:c>
      <x:c r="E30" t="n">
        <x:v>2019</x:v>
      </x:c>
      <x:c r="F30" t="str">
        <x:v>23/181</x:v>
      </x:c>
      <x:c r="G30" t="str">
        <x:v>Common</x:v>
      </x:c>
      <x:c r="H30" t="str">
        <x:v>Normal</x:v>
      </x:c>
      <x:c r="I30" s="23" t="str"/>
      <x:c r="J30" t="str">
        <x:v>OK</x:v>
      </x:c>
      <x:c r="K30" t="str">
        <x:v>sourced</x:v>
      </x:c>
      <x:c r="L30" t="str">
        <x:v>tcgdex</x:v>
      </x:c>
      <x:c r="M30" t="str">
        <x:v>https://api.tcgdex.net/v2/de/cards/sm9-23</x:v>
      </x:c>
      <x:c r="N30" t="str">
        <x:v>https://assets.tcgdex.net/de/sm/sm9/23/high.webp</x:v>
      </x:c>
      <x:c r="O30" t="str">
        <x:v>Non</x:v>
      </x:c>
      <x:c r="P30" s="23" t="str"/>
    </x:row>
    <x:row r="31">
      <x:c r="A31" t="str">
        <x:v>swsh10.5-DE-2022-015</x:v>
      </x:c>
      <x:c r="B31" t="str">
        <x:v>DE</x:v>
      </x:c>
      <x:c r="C31" t="str">
        <x:v>DE</x:v>
      </x:c>
      <x:c r="D31" s="23" t="str">
        <x:v>Pokémon GO</x:v>
      </x:c>
      <x:c r="E31" t="n">
        <x:v>2022</x:v>
      </x:c>
      <x:c r="F31" t="str">
        <x:v>15/78</x:v>
      </x:c>
      <x:c r="G31" t="str">
        <x:v>Common</x:v>
      </x:c>
      <x:c r="H31" t="str">
        <x:v>Normal</x:v>
      </x:c>
      <x:c r="I31" s="23" t="str"/>
      <x:c r="J31" t="str">
        <x:v>OK</x:v>
      </x:c>
      <x:c r="K31" t="str">
        <x:v>sourced</x:v>
      </x:c>
      <x:c r="L31" t="str">
        <x:v>tcgdex</x:v>
      </x:c>
      <x:c r="M31" t="str">
        <x:v>https://api.tcgdex.net/v2/de/cards/swsh10.5-015</x:v>
      </x:c>
      <x:c r="N31" t="str">
        <x:v>https://assets.tcgdex.net/de/swsh/swsh10.5/015/high.webp</x:v>
      </x:c>
      <x:c r="O31" t="str">
        <x:v>Non</x:v>
      </x:c>
      <x:c r="P31" s="23" t="str"/>
    </x:row>
    <x:row r="32">
      <x:c r="A32" t="str">
        <x:v>swsh10.5-rh-DE-2022-015</x:v>
      </x:c>
      <x:c r="B32" t="str">
        <x:v>DE</x:v>
      </x:c>
      <x:c r="C32" t="str">
        <x:v>DE</x:v>
      </x:c>
      <x:c r="D32" s="23" t="str">
        <x:v>Pokémon GO</x:v>
      </x:c>
      <x:c r="E32" t="n">
        <x:v>2022</x:v>
      </x:c>
      <x:c r="F32" t="str">
        <x:v>15/78</x:v>
      </x:c>
      <x:c r="G32" t="str">
        <x:v>Common</x:v>
      </x:c>
      <x:c r="H32" t="str">
        <x:v>Reverse Holo</x:v>
      </x:c>
      <x:c r="I32" s="23" t="str"/>
      <x:c r="J32" t="str">
        <x:v>OK</x:v>
      </x:c>
      <x:c r="K32" t="str">
        <x:v>sourced</x:v>
      </x:c>
      <x:c r="L32" t="str">
        <x:v>tcgdex</x:v>
      </x:c>
      <x:c r="M32" t="str">
        <x:v>https://api.tcgdex.net/v2/de/cards/swsh10.5-015</x:v>
      </x:c>
      <x:c r="N32" t="str">
        <x:v>https://assets.tcgdex.net/de/swsh/swsh10.5/015/high.webp</x:v>
      </x:c>
      <x:c r="O32" t="str">
        <x:v>Non</x:v>
      </x:c>
      <x:c r="P32" s="23" t="str"/>
    </x:row>
    <x:row r="33">
      <x:c r="A33" t="str">
        <x:v>sv03.5-DE-2023-170</x:v>
      </x:c>
      <x:c r="B33" t="str">
        <x:v>DE</x:v>
      </x:c>
      <x:c r="C33" t="str">
        <x:v>DE</x:v>
      </x:c>
      <x:c r="D33" s="23" t="str">
        <x:v>151</x:v>
      </x:c>
      <x:c r="E33" t="n">
        <x:v>2023</x:v>
      </x:c>
      <x:c r="F33" t="str">
        <x:v>170/165</x:v>
      </x:c>
      <x:c r="G33" t="str">
        <x:v>Selten, Illustration</x:v>
      </x:c>
      <x:c r="H33" t="str">
        <x:v>Normal</x:v>
      </x:c>
      <x:c r="I33" s="23" t="str"/>
      <x:c r="J33" t="str">
        <x:v>OK</x:v>
      </x:c>
      <x:c r="K33" t="str">
        <x:v>sourced</x:v>
      </x:c>
      <x:c r="L33" t="str">
        <x:v>tcgdex</x:v>
      </x:c>
      <x:c r="M33" t="str">
        <x:v>https://api.tcgdex.net/v2/de/cards/sv03.5-170</x:v>
      </x:c>
      <x:c r="N33" t="str">
        <x:v>https://assets.tcgdex.net/de/sv/sv03.5/170/high.webp</x:v>
      </x:c>
      <x:c r="O33" t="str">
        <x:v>Non</x:v>
      </x:c>
      <x:c r="P33" s="23" t="str"/>
    </x:row>
    <x:row r="34">
      <x:c r="A34" t="str">
        <x:v>sv03.5-DE-2023-007</x:v>
      </x:c>
      <x:c r="B34" t="str">
        <x:v>DE</x:v>
      </x:c>
      <x:c r="C34" t="str">
        <x:v>DE</x:v>
      </x:c>
      <x:c r="D34" s="23" t="str">
        <x:v>151</x:v>
      </x:c>
      <x:c r="E34" t="n">
        <x:v>2023</x:v>
      </x:c>
      <x:c r="F34" t="str">
        <x:v>7/165</x:v>
      </x:c>
      <x:c r="G34" t="str">
        <x:v>Common</x:v>
      </x:c>
      <x:c r="H34" t="str">
        <x:v>Normal</x:v>
      </x:c>
      <x:c r="I34" s="23" t="str"/>
      <x:c r="J34" t="str">
        <x:v>OK</x:v>
      </x:c>
      <x:c r="K34" t="str">
        <x:v>sourced</x:v>
      </x:c>
      <x:c r="L34" t="str">
        <x:v>tcgdex</x:v>
      </x:c>
      <x:c r="M34" t="str">
        <x:v>https://api.tcgdex.net/v2/de/cards/sv03.5-007</x:v>
      </x:c>
      <x:c r="N34" t="str">
        <x:v>https://assets.tcgdex.net/de/sv/sv03.5/007/high.webp</x:v>
      </x:c>
      <x:c r="O34" t="str">
        <x:v>Non</x:v>
      </x:c>
      <x:c r="P34" s="23" t="str"/>
    </x:row>
    <x:row r="35">
      <x:c r="A35" t="str">
        <x:v>svp-DE-2023-048</x:v>
      </x:c>
      <x:c r="B35" t="str">
        <x:v>DE</x:v>
      </x:c>
      <x:c r="C35" t="str">
        <x:v>DE</x:v>
      </x:c>
      <x:c r="D35" s="23" t="str">
        <x:v>SVP Black Star Promos</x:v>
      </x:c>
      <x:c r="E35" t="n">
        <x:v>2023</x:v>
      </x:c>
      <x:c r="F35" t="str">
        <x:v>48/225</x:v>
      </x:c>
      <x:c r="G35" t="str">
        <x:v>Keine</x:v>
      </x:c>
      <x:c r="H35" t="str">
        <x:v>Normal</x:v>
      </x:c>
      <x:c r="I35" s="23" t="str"/>
      <x:c r="J35" t="str">
        <x:v>OK</x:v>
      </x:c>
      <x:c r="K35" t="str">
        <x:v>sourced</x:v>
      </x:c>
      <x:c r="L35" t="str">
        <x:v>tcgdex</x:v>
      </x:c>
      <x:c r="M35" t="str">
        <x:v>https://api.tcgdex.net/v2/de/cards/svp-048</x:v>
      </x:c>
      <x:c r="N35" t="str">
        <x:v>https://assets.tcgdex.net/de/sv/svp/048/high.webp</x:v>
      </x:c>
      <x:c r="O35" t="str">
        <x:v>Non</x:v>
      </x:c>
      <x:c r="P35" s="23" t="str"/>
    </x:row>
    <x:row r="36">
      <x:c r="A36" t="str">
        <x:v>P-A-DE-2024-033</x:v>
      </x:c>
      <x:c r="B36" t="str">
        <x:v>DE</x:v>
      </x:c>
      <x:c r="C36" t="str">
        <x:v>DE</x:v>
      </x:c>
      <x:c r="D36" s="23" t="str">
        <x:v>PROMO-A</x:v>
      </x:c>
      <x:c r="E36" t="n">
        <x:v>2024</x:v>
      </x:c>
      <x:c r="F36" t="str">
        <x:v>033</x:v>
      </x:c>
      <x:c r="G36" t="str">
        <x:v>Keine</x:v>
      </x:c>
      <x:c r="H36" t="str">
        <x:v>Normal</x:v>
      </x:c>
      <x:c r="I36" s="23" t="str"/>
      <x:c r="J36" t="str">
        <x:v>OK</x:v>
      </x:c>
      <x:c r="K36" t="str">
        <x:v>sourced</x:v>
      </x:c>
      <x:c r="L36" t="str">
        <x:v>tcgdex</x:v>
      </x:c>
      <x:c r="M36" t="str">
        <x:v>https://api.tcgdex.net/v2/de/cards/P-A-033</x:v>
      </x:c>
      <x:c r="N36" t="str">
        <x:v>https://assets.tcgdex.net/de/tcgp/P-A/033/high.webp</x:v>
      </x:c>
      <x:c r="O36" t="str">
        <x:v>Non</x:v>
      </x:c>
      <x:c r="P36" s="23" t="str">
        <x:v>TCG Pocket mêlé au physique</x:v>
      </x:c>
    </x:row>
    <x:row r="37">
      <x:c r="A37" t="str">
        <x:v>sv07-DE-2024-148</x:v>
      </x:c>
      <x:c r="B37" t="str">
        <x:v>DE</x:v>
      </x:c>
      <x:c r="C37" t="str">
        <x:v>DE</x:v>
      </x:c>
      <x:c r="D37" s="23" t="str">
        <x:v>Stellarkrone</x:v>
      </x:c>
      <x:c r="E37" t="n">
        <x:v>2024</x:v>
      </x:c>
      <x:c r="F37" t="str">
        <x:v>148/142</x:v>
      </x:c>
      <x:c r="G37" t="str">
        <x:v>Selten, Illustration</x:v>
      </x:c>
      <x:c r="H37" t="str">
        <x:v>Normal</x:v>
      </x:c>
      <x:c r="I37" s="23" t="str"/>
      <x:c r="J37" t="str">
        <x:v>OK</x:v>
      </x:c>
      <x:c r="K37" t="str">
        <x:v>sourced</x:v>
      </x:c>
      <x:c r="L37" t="str">
        <x:v>tcgdex</x:v>
      </x:c>
      <x:c r="M37" t="str">
        <x:v>https://api.tcgdex.net/v2/de/cards/sv07-148</x:v>
      </x:c>
      <x:c r="N37" t="str">
        <x:v>https://assets.tcgdex.net/de/sv/sv07/148/high.webp</x:v>
      </x:c>
      <x:c r="O37" t="str">
        <x:v>Non</x:v>
      </x:c>
      <x:c r="P37" s="23" t="str"/>
    </x:row>
    <x:row r="38">
      <x:c r="A38" t="str">
        <x:v>A1-DE-2024-053</x:v>
      </x:c>
      <x:c r="B38" t="str">
        <x:v>DE</x:v>
      </x:c>
      <x:c r="C38" t="str">
        <x:v>DE</x:v>
      </x:c>
      <x:c r="D38" s="23" t="str">
        <x:v>Unschlagbare Gene</x:v>
      </x:c>
      <x:c r="E38" t="n">
        <x:v>2024</x:v>
      </x:c>
      <x:c r="F38" t="str">
        <x:v>53/226</x:v>
      </x:c>
      <x:c r="G38" t="str">
        <x:v>Une Diamant</x:v>
      </x:c>
      <x:c r="H38" t="str">
        <x:v>Normal</x:v>
      </x:c>
      <x:c r="I38" s="23" t="str"/>
      <x:c r="J38" t="str">
        <x:v>OK</x:v>
      </x:c>
      <x:c r="K38" t="str">
        <x:v>sourced</x:v>
      </x:c>
      <x:c r="L38" t="str">
        <x:v>tcgdex</x:v>
      </x:c>
      <x:c r="M38" t="str">
        <x:v>https://api.tcgdex.net/v2/de/cards/A1-053</x:v>
      </x:c>
      <x:c r="N38" t="str">
        <x:v>https://assets.tcgdex.net/de/tcgp/A1/053/high.webp</x:v>
      </x:c>
      <x:c r="O38" t="str">
        <x:v>Non</x:v>
      </x:c>
      <x:c r="P38" s="23" t="str">
        <x:v>TCG Pocket mêlé au physique</x:v>
      </x:c>
    </x:row>
    <x:row r="39">
      <x:c r="A39" t="str">
        <x:v>mep-DE-2025-039</x:v>
      </x:c>
      <x:c r="B39" t="str">
        <x:v>DE</x:v>
      </x:c>
      <x:c r="C39" t="str">
        <x:v>DE</x:v>
      </x:c>
      <x:c r="D39" s="23" t="str">
        <x:v>MEP Black Star Promos</x:v>
      </x:c>
      <x:c r="E39" t="n">
        <x:v>2025</x:v>
      </x:c>
      <x:c r="F39" t="str">
        <x:v>039</x:v>
      </x:c>
      <x:c r="G39" t="str">
        <x:v>Keine</x:v>
      </x:c>
      <x:c r="H39" t="str">
        <x:v>Holo</x:v>
      </x:c>
      <x:c r="I39" s="23" t="str"/>
      <x:c r="J39" t="str">
        <x:v>Absente</x:v>
      </x:c>
      <x:c r="K39" t="str">
        <x:v>draft</x:v>
      </x:c>
      <x:c r="L39" t="str">
        <x:v>tcgdex</x:v>
      </x:c>
      <x:c r="M39" t="str">
        <x:v>https://api.tcgdex.net/v2/de/cards/mep-039</x:v>
      </x:c>
      <x:c r="N39"/>
      <x:c r="O39" t="str">
        <x:v>Non</x:v>
      </x:c>
      <x:c r="P39" s="23" t="str"/>
    </x:row>
    <x:row r="40">
      <x:c r="A40" t="str">
        <x:v>base-uk-EN-1999-63</x:v>
      </x:c>
      <x:c r="B40" t="str">
        <x:v>EN</x:v>
      </x:c>
      <x:c r="C40" t="str">
        <x:v>GB</x:v>
      </x:c>
      <x:c r="D40" s="23" t="str">
        <x:v>Base Set (1999-2000)</x:v>
      </x:c>
      <x:c r="E40" t="n">
        <x:v>1999</x:v>
      </x:c>
      <x:c r="F40" t="str">
        <x:v>63/102</x:v>
      </x:c>
      <x:c r="G40" t="str">
        <x:v>Common</x:v>
      </x:c>
      <x:c r="H40" t="str">
        <x:v>Normal</x:v>
      </x:c>
      <x:c r="I40" s="23" t="str">
        <x:v>UK printing</x:v>
      </x:c>
      <x:c r="J40" t="str">
        <x:v>OK</x:v>
      </x:c>
      <x:c r="K40" t="str">
        <x:v>verified</x:v>
      </x:c>
      <x:c r="L40" t="str">
        <x:v>masterlist</x:v>
      </x:c>
      <x:c r="M40"/>
      <x:c r="N40" t="str">
        <x:v>https://assets.tcgdex.net/en/base/base1/63/high.webp</x:v>
      </x:c>
      <x:c r="O40" t="str">
        <x:v>Non</x:v>
      </x:c>
      <x:c r="P40" s="23" t="str"/>
    </x:row>
    <x:row r="41">
      <x:c r="A41" t="str">
        <x:v>base-shadowless-1st-EN-1999-63</x:v>
      </x:c>
      <x:c r="B41" t="str">
        <x:v>EN</x:v>
      </x:c>
      <x:c r="C41" t="str">
        <x:v>US</x:v>
      </x:c>
      <x:c r="D41" s="23" t="str">
        <x:v>Base Set (Shadowless)</x:v>
      </x:c>
      <x:c r="E41" t="n">
        <x:v>1999</x:v>
      </x:c>
      <x:c r="F41" t="str">
        <x:v>63/102</x:v>
      </x:c>
      <x:c r="G41" t="str">
        <x:v>Common</x:v>
      </x:c>
      <x:c r="H41" t="str">
        <x:v>1st Edition</x:v>
      </x:c>
      <x:c r="I41" s="23" t="str"/>
      <x:c r="J41" t="str">
        <x:v>OK</x:v>
      </x:c>
      <x:c r="K41" t="str">
        <x:v>verified</x:v>
      </x:c>
      <x:c r="L41" t="str">
        <x:v>masterlist</x:v>
      </x:c>
      <x:c r="M41"/>
      <x:c r="N41" t="str">
        <x:v>https://assets.tcgdex.net/en/base/base1/63/high.webp</x:v>
      </x:c>
      <x:c r="O41" t="str">
        <x:v>Non</x:v>
      </x:c>
      <x:c r="P41" s="23" t="str"/>
    </x:row>
    <x:row r="42">
      <x:c r="A42" t="str">
        <x:v>base-shadowless-unl-EN-1999-63</x:v>
      </x:c>
      <x:c r="B42" t="str">
        <x:v>EN</x:v>
      </x:c>
      <x:c r="C42" t="str">
        <x:v>US</x:v>
      </x:c>
      <x:c r="D42" s="23" t="str">
        <x:v>Base Set (Shadowless)</x:v>
      </x:c>
      <x:c r="E42" t="n">
        <x:v>1999</x:v>
      </x:c>
      <x:c r="F42" t="str">
        <x:v>63/102</x:v>
      </x:c>
      <x:c r="G42" t="str">
        <x:v>Common</x:v>
      </x:c>
      <x:c r="H42" t="str">
        <x:v>Unlimited</x:v>
      </x:c>
      <x:c r="I42" s="23" t="str"/>
      <x:c r="J42" t="str">
        <x:v>OK</x:v>
      </x:c>
      <x:c r="K42" t="str">
        <x:v>verified</x:v>
      </x:c>
      <x:c r="L42" t="str">
        <x:v>masterlist</x:v>
      </x:c>
      <x:c r="M42"/>
      <x:c r="N42" t="str">
        <x:v>https://assets.tcgdex.net/en/base/base1/63/high.webp</x:v>
      </x:c>
      <x:c r="O42" t="str">
        <x:v>Non</x:v>
      </x:c>
      <x:c r="P42" s="23" t="str"/>
    </x:row>
    <x:row r="43">
      <x:c r="A43" t="str">
        <x:v>base-EN-1999-63</x:v>
      </x:c>
      <x:c r="B43" t="str">
        <x:v>EN</x:v>
      </x:c>
      <x:c r="C43" t="str">
        <x:v>US</x:v>
      </x:c>
      <x:c r="D43" s="23" t="str">
        <x:v>Base Set</x:v>
      </x:c>
      <x:c r="E43" t="n">
        <x:v>1999</x:v>
      </x:c>
      <x:c r="F43" t="str">
        <x:v>63/102</x:v>
      </x:c>
      <x:c r="G43" t="str">
        <x:v>Common</x:v>
      </x:c>
      <x:c r="H43" t="str">
        <x:v>Unlimited</x:v>
      </x:c>
      <x:c r="I43" s="23" t="str"/>
      <x:c r="J43" t="str">
        <x:v>OK</x:v>
      </x:c>
      <x:c r="K43" t="str">
        <x:v>verified</x:v>
      </x:c>
      <x:c r="L43" t="str">
        <x:v>masterlist</x:v>
      </x:c>
      <x:c r="M43"/>
      <x:c r="N43" t="str">
        <x:v>https://assets.tcgdex.net/en/base/base1/63/high.webp</x:v>
      </x:c>
      <x:c r="O43" t="str">
        <x:v>Non</x:v>
      </x:c>
      <x:c r="P43" s="23" t="str"/>
    </x:row>
    <x:row r="44">
      <x:c r="A44" t="str">
        <x:v>base2-EN-2000-93</x:v>
      </x:c>
      <x:c r="B44" t="str">
        <x:v>EN</x:v>
      </x:c>
      <x:c r="C44" t="str">
        <x:v>US</x:v>
      </x:c>
      <x:c r="D44" s="23" t="str">
        <x:v>Base Set 2</x:v>
      </x:c>
      <x:c r="E44" t="n">
        <x:v>2000</x:v>
      </x:c>
      <x:c r="F44" t="str">
        <x:v>93/130</x:v>
      </x:c>
      <x:c r="G44" t="str">
        <x:v>Common</x:v>
      </x:c>
      <x:c r="H44" t="str">
        <x:v>Normal</x:v>
      </x:c>
      <x:c r="I44" s="23" t="str"/>
      <x:c r="J44" t="str">
        <x:v>OK</x:v>
      </x:c>
      <x:c r="K44" t="str">
        <x:v>verified</x:v>
      </x:c>
      <x:c r="L44" t="str">
        <x:v>masterlist</x:v>
      </x:c>
      <x:c r="M44"/>
      <x:c r="N44" t="str">
        <x:v>https://assets.tcgdex.net/en/base/base4/93/high.webp</x:v>
      </x:c>
      <x:c r="O44" t="str">
        <x:v>Non</x:v>
      </x:c>
      <x:c r="P44" s="23" t="str"/>
    </x:row>
    <x:row r="45">
      <x:c r="A45" t="str">
        <x:v>gym-challenge-1st-EN-2000-118</x:v>
      </x:c>
      <x:c r="B45" t="str">
        <x:v>EN</x:v>
      </x:c>
      <x:c r="C45" t="str">
        <x:v>US</x:v>
      </x:c>
      <x:c r="D45" s="23" t="str">
        <x:v>Gym Challenge</x:v>
      </x:c>
      <x:c r="E45" t="n">
        <x:v>2000</x:v>
      </x:c>
      <x:c r="F45" t="str">
        <x:v>118/132</x:v>
      </x:c>
      <x:c r="G45" t="str">
        <x:v>Uncommon</x:v>
      </x:c>
      <x:c r="H45" t="str">
        <x:v>1st Edition</x:v>
      </x:c>
      <x:c r="I45" s="23" t="str">
        <x:v>Misty's Tears - Squirtle cameo</x:v>
      </x:c>
      <x:c r="J45" t="str">
        <x:v>OK</x:v>
      </x:c>
      <x:c r="K45" t="str">
        <x:v>verified</x:v>
      </x:c>
      <x:c r="L45" t="str">
        <x:v>masterlist</x:v>
      </x:c>
      <x:c r="M45"/>
      <x:c r="N45" t="str">
        <x:v>https://assets.tcgdex.net/en/gym/gym2/118/high.webp</x:v>
      </x:c>
      <x:c r="O45" t="str">
        <x:v>Non</x:v>
      </x:c>
      <x:c r="P45" s="23" t="str"/>
    </x:row>
    <x:row r="46">
      <x:c r="A46" t="str">
        <x:v>gym-challenge-unl-EN-2000-118</x:v>
      </x:c>
      <x:c r="B46" t="str">
        <x:v>EN</x:v>
      </x:c>
      <x:c r="C46" t="str">
        <x:v>US</x:v>
      </x:c>
      <x:c r="D46" s="23" t="str">
        <x:v>Gym Challenge</x:v>
      </x:c>
      <x:c r="E46" t="n">
        <x:v>2000</x:v>
      </x:c>
      <x:c r="F46" t="str">
        <x:v>118/132</x:v>
      </x:c>
      <x:c r="G46" t="str">
        <x:v>Uncommon</x:v>
      </x:c>
      <x:c r="H46" t="str">
        <x:v>Unlimited</x:v>
      </x:c>
      <x:c r="I46" s="23" t="str">
        <x:v>Misty's Tears - Squirtle cameo</x:v>
      </x:c>
      <x:c r="J46" t="str">
        <x:v>OK</x:v>
      </x:c>
      <x:c r="K46" t="str">
        <x:v>verified</x:v>
      </x:c>
      <x:c r="L46" t="str">
        <x:v>masterlist</x:v>
      </x:c>
      <x:c r="M46"/>
      <x:c r="N46" t="str">
        <x:v>https://assets.tcgdex.net/en/gym/gym2/118/high.webp</x:v>
      </x:c>
      <x:c r="O46" t="str">
        <x:v>Non</x:v>
      </x:c>
      <x:c r="P46" s="23" t="str"/>
    </x:row>
    <x:row r="47">
      <x:c r="A47" t="str">
        <x:v>team-rocket-1st-EN-2000-68</x:v>
      </x:c>
      <x:c r="B47" t="str">
        <x:v>EN</x:v>
      </x:c>
      <x:c r="C47" t="str">
        <x:v>US</x:v>
      </x:c>
      <x:c r="D47" s="23" t="str">
        <x:v>Team Rocket</x:v>
      </x:c>
      <x:c r="E47" t="n">
        <x:v>2000</x:v>
      </x:c>
      <x:c r="F47" t="str">
        <x:v>68/82</x:v>
      </x:c>
      <x:c r="G47" t="str">
        <x:v>Common</x:v>
      </x:c>
      <x:c r="H47" t="str">
        <x:v>1st Edition</x:v>
      </x:c>
      <x:c r="I47" s="23" t="str"/>
      <x:c r="J47" t="str">
        <x:v>OK</x:v>
      </x:c>
      <x:c r="K47" t="str">
        <x:v>verified</x:v>
      </x:c>
      <x:c r="L47" t="str">
        <x:v>masterlist</x:v>
      </x:c>
      <x:c r="M47"/>
      <x:c r="N47" t="str">
        <x:v>https://assets.tcgdex.net/en/base/base5/68/high.webp</x:v>
      </x:c>
      <x:c r="O47" t="str">
        <x:v>Non</x:v>
      </x:c>
      <x:c r="P47" s="23" t="str"/>
    </x:row>
    <x:row r="48">
      <x:c r="A48" t="str">
        <x:v>team-rocket-unl-EN-2000-68</x:v>
      </x:c>
      <x:c r="B48" t="str">
        <x:v>EN</x:v>
      </x:c>
      <x:c r="C48" t="str">
        <x:v>US</x:v>
      </x:c>
      <x:c r="D48" s="23" t="str">
        <x:v>Team Rocket</x:v>
      </x:c>
      <x:c r="E48" t="n">
        <x:v>2000</x:v>
      </x:c>
      <x:c r="F48" t="str">
        <x:v>68/82</x:v>
      </x:c>
      <x:c r="G48" t="str">
        <x:v>Common</x:v>
      </x:c>
      <x:c r="H48" t="str">
        <x:v>Unlimited</x:v>
      </x:c>
      <x:c r="I48" s="23" t="str"/>
      <x:c r="J48" t="str">
        <x:v>OK</x:v>
      </x:c>
      <x:c r="K48" t="str">
        <x:v>verified</x:v>
      </x:c>
      <x:c r="L48" t="str">
        <x:v>masterlist</x:v>
      </x:c>
      <x:c r="M48"/>
      <x:c r="N48" t="str">
        <x:v>https://assets.tcgdex.net/en/base/base5/68/high.webp</x:v>
      </x:c>
      <x:c r="O48" t="str">
        <x:v>Non</x:v>
      </x:c>
      <x:c r="P48" s="23" t="str"/>
    </x:row>
    <x:row r="49">
      <x:c r="A49" t="str">
        <x:v>expedition-EN-2002-131</x:v>
      </x:c>
      <x:c r="B49" t="str">
        <x:v>EN</x:v>
      </x:c>
      <x:c r="C49" t="str">
        <x:v>US</x:v>
      </x:c>
      <x:c r="D49" s="23" t="str">
        <x:v>Expedition Base Set</x:v>
      </x:c>
      <x:c r="E49" t="n">
        <x:v>2002</x:v>
      </x:c>
      <x:c r="F49" t="str">
        <x:v>131/165</x:v>
      </x:c>
      <x:c r="G49" t="str">
        <x:v>Common</x:v>
      </x:c>
      <x:c r="H49" t="str">
        <x:v>Normal</x:v>
      </x:c>
      <x:c r="I49" s="23" t="str"/>
      <x:c r="J49" t="str">
        <x:v>OK</x:v>
      </x:c>
      <x:c r="K49" t="str">
        <x:v>verified</x:v>
      </x:c>
      <x:c r="L49" t="str">
        <x:v>masterlist</x:v>
      </x:c>
      <x:c r="M49"/>
      <x:c r="N49" t="str">
        <x:v>https://assets.tcgdex.net/en/ecard/ecard1/131/high.webp</x:v>
      </x:c>
      <x:c r="O49" t="str">
        <x:v>Non</x:v>
      </x:c>
      <x:c r="P49" s="23" t="str"/>
    </x:row>
    <x:row r="50">
      <x:c r="A50" t="str">
        <x:v>expedition-rh-EN-2002-131</x:v>
      </x:c>
      <x:c r="B50" t="str">
        <x:v>EN</x:v>
      </x:c>
      <x:c r="C50" t="str">
        <x:v>US</x:v>
      </x:c>
      <x:c r="D50" s="23" t="str">
        <x:v>Expedition Base Set</x:v>
      </x:c>
      <x:c r="E50" t="n">
        <x:v>2002</x:v>
      </x:c>
      <x:c r="F50" t="str">
        <x:v>131/165</x:v>
      </x:c>
      <x:c r="G50" t="str">
        <x:v>Common</x:v>
      </x:c>
      <x:c r="H50" t="str">
        <x:v>Reverse Holo</x:v>
      </x:c>
      <x:c r="I50" s="23" t="str"/>
      <x:c r="J50" t="str">
        <x:v>OK</x:v>
      </x:c>
      <x:c r="K50" t="str">
        <x:v>verified</x:v>
      </x:c>
      <x:c r="L50" t="str">
        <x:v>masterlist</x:v>
      </x:c>
      <x:c r="M50"/>
      <x:c r="N50" t="str">
        <x:v>https://assets.tcgdex.net/en/ecard/ecard1/131/high.webp</x:v>
      </x:c>
      <x:c r="O50" t="str">
        <x:v>Non</x:v>
      </x:c>
      <x:c r="P50" s="23" t="str"/>
    </x:row>
    <x:row r="51">
      <x:c r="A51" t="str">
        <x:v>expedition-EN-2002-132</x:v>
      </x:c>
      <x:c r="B51" t="str">
        <x:v>EN</x:v>
      </x:c>
      <x:c r="C51" t="str">
        <x:v>US</x:v>
      </x:c>
      <x:c r="D51" s="23" t="str">
        <x:v>Expedition Base Set</x:v>
      </x:c>
      <x:c r="E51" t="n">
        <x:v>2002</x:v>
      </x:c>
      <x:c r="F51" t="str">
        <x:v>132/165</x:v>
      </x:c>
      <x:c r="G51" t="str">
        <x:v>Common</x:v>
      </x:c>
      <x:c r="H51" t="str">
        <x:v>Normal</x:v>
      </x:c>
      <x:c r="I51" s="23" t="str"/>
      <x:c r="J51" t="str">
        <x:v>OK</x:v>
      </x:c>
      <x:c r="K51" t="str">
        <x:v>verified</x:v>
      </x:c>
      <x:c r="L51" t="str">
        <x:v>masterlist</x:v>
      </x:c>
      <x:c r="M51"/>
      <x:c r="N51" t="str">
        <x:v>https://assets.tcgdex.net/en/ecard/ecard1/132/high.webp</x:v>
      </x:c>
      <x:c r="O51" t="str">
        <x:v>Non</x:v>
      </x:c>
      <x:c r="P51" s="23" t="str"/>
    </x:row>
    <x:row r="52">
      <x:c r="A52" t="str">
        <x:v>expedition-rh-EN-2002-132</x:v>
      </x:c>
      <x:c r="B52" t="str">
        <x:v>EN</x:v>
      </x:c>
      <x:c r="C52" t="str">
        <x:v>US</x:v>
      </x:c>
      <x:c r="D52" s="23" t="str">
        <x:v>Expedition Base Set</x:v>
      </x:c>
      <x:c r="E52" t="n">
        <x:v>2002</x:v>
      </x:c>
      <x:c r="F52" t="str">
        <x:v>132/165</x:v>
      </x:c>
      <x:c r="G52" t="str">
        <x:v>Common</x:v>
      </x:c>
      <x:c r="H52" t="str">
        <x:v>Reverse Holo</x:v>
      </x:c>
      <x:c r="I52" s="23" t="str"/>
      <x:c r="J52" t="str">
        <x:v>OK</x:v>
      </x:c>
      <x:c r="K52" t="str">
        <x:v>verified</x:v>
      </x:c>
      <x:c r="L52" t="str">
        <x:v>masterlist</x:v>
      </x:c>
      <x:c r="M52"/>
      <x:c r="N52" t="str">
        <x:v>https://assets.tcgdex.net/en/ecard/ecard1/132/high.webp</x:v>
      </x:c>
      <x:c r="O52" t="str">
        <x:v>Non</x:v>
      </x:c>
      <x:c r="P52" s="23" t="str"/>
    </x:row>
    <x:row r="53">
      <x:c r="A53" t="str">
        <x:v>leg-col-EN-2002-95</x:v>
      </x:c>
      <x:c r="B53" t="str">
        <x:v>EN</x:v>
      </x:c>
      <x:c r="C53" t="str">
        <x:v>US</x:v>
      </x:c>
      <x:c r="D53" s="23" t="str">
        <x:v>Legendary Collection</x:v>
      </x:c>
      <x:c r="E53" t="n">
        <x:v>2002</x:v>
      </x:c>
      <x:c r="F53" t="str">
        <x:v>95/110</x:v>
      </x:c>
      <x:c r="G53" t="str">
        <x:v>Common</x:v>
      </x:c>
      <x:c r="H53" t="str">
        <x:v>Normal</x:v>
      </x:c>
      <x:c r="I53" s="23" t="str"/>
      <x:c r="J53" t="str">
        <x:v>OK</x:v>
      </x:c>
      <x:c r="K53" t="str">
        <x:v>verified</x:v>
      </x:c>
      <x:c r="L53" t="str">
        <x:v>masterlist</x:v>
      </x:c>
      <x:c r="M53"/>
      <x:c r="N53" t="str">
        <x:v>https://assets.tcgdex.net/en/lc/lc/95/high.webp</x:v>
      </x:c>
      <x:c r="O53" t="str">
        <x:v>Non</x:v>
      </x:c>
      <x:c r="P53" s="23" t="str"/>
    </x:row>
    <x:row r="54">
      <x:c r="A54" t="str">
        <x:v>leg-col-rh-EN-2002-95</x:v>
      </x:c>
      <x:c r="B54" t="str">
        <x:v>EN</x:v>
      </x:c>
      <x:c r="C54" t="str">
        <x:v>US</x:v>
      </x:c>
      <x:c r="D54" s="23" t="str">
        <x:v>Legendary Collection</x:v>
      </x:c>
      <x:c r="E54" t="n">
        <x:v>2002</x:v>
      </x:c>
      <x:c r="F54" t="str">
        <x:v>95/110</x:v>
      </x:c>
      <x:c r="G54" t="str">
        <x:v>Common</x:v>
      </x:c>
      <x:c r="H54" t="str">
        <x:v>Reverse Holo</x:v>
      </x:c>
      <x:c r="I54" s="23" t="str"/>
      <x:c r="J54" t="str">
        <x:v>OK</x:v>
      </x:c>
      <x:c r="K54" t="str">
        <x:v>verified</x:v>
      </x:c>
      <x:c r="L54" t="str">
        <x:v>masterlist</x:v>
      </x:c>
      <x:c r="M54"/>
      <x:c r="N54" t="str">
        <x:v>https://assets.tcgdex.net/en/lc/lc/95/high.webp</x:v>
      </x:c>
      <x:c r="O54" t="str">
        <x:v>Non</x:v>
      </x:c>
      <x:c r="P54" s="23" t="str"/>
    </x:row>
    <x:row r="55">
      <x:c r="A55" t="str">
        <x:v>aquapolis-EN-2003-136</x:v>
      </x:c>
      <x:c r="B55" t="str">
        <x:v>EN</x:v>
      </x:c>
      <x:c r="C55" t="str">
        <x:v>US</x:v>
      </x:c>
      <x:c r="D55" s="23" t="str">
        <x:v>Aquapolis</x:v>
      </x:c>
      <x:c r="E55" t="n">
        <x:v>2003</x:v>
      </x:c>
      <x:c r="F55" t="str">
        <x:v>136/147</x:v>
      </x:c>
      <x:c r="G55" t="str">
        <x:v>Uncommon</x:v>
      </x:c>
      <x:c r="H55" t="str">
        <x:v>Normal</x:v>
      </x:c>
      <x:c r="I55" s="23" t="str">
        <x:v>Town Volunteers - Squirtle cameo</x:v>
      </x:c>
      <x:c r="J55" t="str">
        <x:v>OK</x:v>
      </x:c>
      <x:c r="K55" t="str">
        <x:v>verified</x:v>
      </x:c>
      <x:c r="L55" t="str">
        <x:v>masterlist</x:v>
      </x:c>
      <x:c r="M55"/>
      <x:c r="N55" t="str">
        <x:v>https://assets.tcgdex.net/en/ecard/ecard2/136/high.webp</x:v>
      </x:c>
      <x:c r="O55" t="str">
        <x:v>Non</x:v>
      </x:c>
      <x:c r="P55" s="23" t="str"/>
    </x:row>
    <x:row r="56">
      <x:c r="A56" t="str">
        <x:v>aquapolis-rh-EN-2003-136</x:v>
      </x:c>
      <x:c r="B56" t="str">
        <x:v>EN</x:v>
      </x:c>
      <x:c r="C56" t="str">
        <x:v>US</x:v>
      </x:c>
      <x:c r="D56" s="23" t="str">
        <x:v>Aquapolis</x:v>
      </x:c>
      <x:c r="E56" t="n">
        <x:v>2003</x:v>
      </x:c>
      <x:c r="F56" t="str">
        <x:v>136/147</x:v>
      </x:c>
      <x:c r="G56" t="str">
        <x:v>Uncommon</x:v>
      </x:c>
      <x:c r="H56" t="str">
        <x:v>Reverse Holo</x:v>
      </x:c>
      <x:c r="I56" s="23" t="str">
        <x:v>Town Volunteers - Squirtle cameo</x:v>
      </x:c>
      <x:c r="J56" t="str">
        <x:v>OK</x:v>
      </x:c>
      <x:c r="K56" t="str">
        <x:v>verified</x:v>
      </x:c>
      <x:c r="L56" t="str">
        <x:v>masterlist</x:v>
      </x:c>
      <x:c r="M56"/>
      <x:c r="N56" t="str">
        <x:v>https://assets.tcgdex.net/en/ecard/ecard2/136/high.webp</x:v>
      </x:c>
      <x:c r="O56" t="str">
        <x:v>Non</x:v>
      </x:c>
      <x:c r="P56" s="23" t="str"/>
    </x:row>
    <x:row r="57">
      <x:c r="A57" t="str">
        <x:v>frlg-EN-2004-82</x:v>
      </x:c>
      <x:c r="B57" t="str">
        <x:v>EN</x:v>
      </x:c>
      <x:c r="C57" t="str">
        <x:v>US</x:v>
      </x:c>
      <x:c r="D57" s="23" t="str">
        <x:v>EX FireRed &amp; LeafGreen</x:v>
      </x:c>
      <x:c r="E57" t="n">
        <x:v>2004</x:v>
      </x:c>
      <x:c r="F57" t="str">
        <x:v>82/112</x:v>
      </x:c>
      <x:c r="G57" t="str">
        <x:v>Common</x:v>
      </x:c>
      <x:c r="H57" t="str">
        <x:v>Normal</x:v>
      </x:c>
      <x:c r="I57" s="23" t="str"/>
      <x:c r="J57" t="str">
        <x:v>OK</x:v>
      </x:c>
      <x:c r="K57" t="str">
        <x:v>verified</x:v>
      </x:c>
      <x:c r="L57" t="str">
        <x:v>masterlist</x:v>
      </x:c>
      <x:c r="M57"/>
      <x:c r="N57" t="str">
        <x:v>https://assets.tcgdex.net/en/ex/ex6/82/high.webp</x:v>
      </x:c>
      <x:c r="O57" t="str">
        <x:v>Non</x:v>
      </x:c>
      <x:c r="P57" s="23" t="str"/>
    </x:row>
    <x:row r="58">
      <x:c r="A58" t="str">
        <x:v>frlg-rh-EN-2004-82</x:v>
      </x:c>
      <x:c r="B58" t="str">
        <x:v>EN</x:v>
      </x:c>
      <x:c r="C58" t="str">
        <x:v>US</x:v>
      </x:c>
      <x:c r="D58" s="23" t="str">
        <x:v>EX FireRed &amp; LeafGreen</x:v>
      </x:c>
      <x:c r="E58" t="n">
        <x:v>2004</x:v>
      </x:c>
      <x:c r="F58" t="str">
        <x:v>82/112</x:v>
      </x:c>
      <x:c r="G58" t="str">
        <x:v>Common</x:v>
      </x:c>
      <x:c r="H58" t="str">
        <x:v>Reverse Holo</x:v>
      </x:c>
      <x:c r="I58" s="23" t="str"/>
      <x:c r="J58" t="str">
        <x:v>OK</x:v>
      </x:c>
      <x:c r="K58" t="str">
        <x:v>verified</x:v>
      </x:c>
      <x:c r="L58" t="str">
        <x:v>masterlist</x:v>
      </x:c>
      <x:c r="M58"/>
      <x:c r="N58" t="str">
        <x:v>https://assets.tcgdex.net/en/ex/ex6/82/high.webp</x:v>
      </x:c>
      <x:c r="O58" t="str">
        <x:v>Non</x:v>
      </x:c>
      <x:c r="P58" s="23" t="str"/>
    </x:row>
    <x:row r="59">
      <x:c r="A59" t="str">
        <x:v>frlg-EN-2004-83</x:v>
      </x:c>
      <x:c r="B59" t="str">
        <x:v>EN</x:v>
      </x:c>
      <x:c r="C59" t="str">
        <x:v>US</x:v>
      </x:c>
      <x:c r="D59" s="23" t="str">
        <x:v>EX FireRed &amp; LeafGreen</x:v>
      </x:c>
      <x:c r="E59" t="n">
        <x:v>2004</x:v>
      </x:c>
      <x:c r="F59" t="str">
        <x:v>83/112</x:v>
      </x:c>
      <x:c r="G59" t="str">
        <x:v>Common</x:v>
      </x:c>
      <x:c r="H59" t="str">
        <x:v>Normal</x:v>
      </x:c>
      <x:c r="I59" s="23" t="str"/>
      <x:c r="J59" t="str">
        <x:v>OK</x:v>
      </x:c>
      <x:c r="K59" t="str">
        <x:v>verified</x:v>
      </x:c>
      <x:c r="L59" t="str">
        <x:v>masterlist</x:v>
      </x:c>
      <x:c r="M59"/>
      <x:c r="N59" t="str">
        <x:v>https://assets.tcgdex.net/en/ex/ex6/83/high.webp</x:v>
      </x:c>
      <x:c r="O59" t="str">
        <x:v>Non</x:v>
      </x:c>
      <x:c r="P59" s="23" t="str"/>
    </x:row>
    <x:row r="60">
      <x:c r="A60" t="str">
        <x:v>frlg-rh-EN-2004-83</x:v>
      </x:c>
      <x:c r="B60" t="str">
        <x:v>EN</x:v>
      </x:c>
      <x:c r="C60" t="str">
        <x:v>US</x:v>
      </x:c>
      <x:c r="D60" s="23" t="str">
        <x:v>EX FireRed &amp; LeafGreen</x:v>
      </x:c>
      <x:c r="E60" t="n">
        <x:v>2004</x:v>
      </x:c>
      <x:c r="F60" t="str">
        <x:v>83/112</x:v>
      </x:c>
      <x:c r="G60" t="str">
        <x:v>Common</x:v>
      </x:c>
      <x:c r="H60" t="str">
        <x:v>Reverse Holo</x:v>
      </x:c>
      <x:c r="I60" s="23" t="str"/>
      <x:c r="J60" t="str">
        <x:v>OK</x:v>
      </x:c>
      <x:c r="K60" t="str">
        <x:v>verified</x:v>
      </x:c>
      <x:c r="L60" t="str">
        <x:v>masterlist</x:v>
      </x:c>
      <x:c r="M60"/>
      <x:c r="N60" t="str">
        <x:v>https://assets.tcgdex.net/en/ex/ex6/83/high.webp</x:v>
      </x:c>
      <x:c r="O60" t="str">
        <x:v>Non</x:v>
      </x:c>
      <x:c r="P60" s="23" t="str"/>
    </x:row>
    <x:row r="61">
      <x:c r="A61" t="str">
        <x:v>tmta-EN-2004-46</x:v>
      </x:c>
      <x:c r="B61" t="str">
        <x:v>EN</x:v>
      </x:c>
      <x:c r="C61" t="str">
        <x:v>US</x:v>
      </x:c>
      <x:c r="D61" s="23" t="str">
        <x:v>EX Team Magma vs Team Aqua</x:v>
      </x:c>
      <x:c r="E61" t="n">
        <x:v>2004</x:v>
      </x:c>
      <x:c r="F61" t="str">
        <x:v>46/95</x:v>
      </x:c>
      <x:c r="G61" t="str">
        <x:v>Common</x:v>
      </x:c>
      <x:c r="H61" t="str">
        <x:v>Normal</x:v>
      </x:c>
      <x:c r="I61" s="23" t="str"/>
      <x:c r="J61" t="str">
        <x:v>OK</x:v>
      </x:c>
      <x:c r="K61" t="str">
        <x:v>verified</x:v>
      </x:c>
      <x:c r="L61" t="str">
        <x:v>masterlist</x:v>
      </x:c>
      <x:c r="M61"/>
      <x:c r="N61" t="str">
        <x:v>https://assets.tcgdex.net/en/ex/ex4/46/high.webp</x:v>
      </x:c>
      <x:c r="O61" t="str">
        <x:v>Non</x:v>
      </x:c>
      <x:c r="P61" s="23" t="str"/>
    </x:row>
    <x:row r="62">
      <x:c r="A62" t="str">
        <x:v>tmta-rh-EN-2004-46</x:v>
      </x:c>
      <x:c r="B62" t="str">
        <x:v>EN</x:v>
      </x:c>
      <x:c r="C62" t="str">
        <x:v>US</x:v>
      </x:c>
      <x:c r="D62" s="23" t="str">
        <x:v>EX Team Magma vs Team Aqua</x:v>
      </x:c>
      <x:c r="E62" t="n">
        <x:v>2004</x:v>
      </x:c>
      <x:c r="F62" t="str">
        <x:v>46/95</x:v>
      </x:c>
      <x:c r="G62" t="str">
        <x:v>Common</x:v>
      </x:c>
      <x:c r="H62" t="str">
        <x:v>Reverse Holo</x:v>
      </x:c>
      <x:c r="I62" s="23" t="str"/>
      <x:c r="J62" t="str">
        <x:v>OK</x:v>
      </x:c>
      <x:c r="K62" t="str">
        <x:v>verified</x:v>
      </x:c>
      <x:c r="L62" t="str">
        <x:v>masterlist</x:v>
      </x:c>
      <x:c r="M62"/>
      <x:c r="N62" t="str">
        <x:v>https://assets.tcgdex.net/en/ex/ex4/46/high.webp</x:v>
      </x:c>
      <x:c r="O62" t="str">
        <x:v>Non</x:v>
      </x:c>
      <x:c r="P62" s="23" t="str"/>
    </x:row>
    <x:row r="63">
      <x:c r="A63" t="str">
        <x:v>delta-ditto-EN-2005-40</x:v>
      </x:c>
      <x:c r="B63" t="str">
        <x:v>EN</x:v>
      </x:c>
      <x:c r="C63" t="str">
        <x:v>US</x:v>
      </x:c>
      <x:c r="D63" s="23" t="str">
        <x:v>EX Delta Species</x:v>
      </x:c>
      <x:c r="E63" t="n">
        <x:v>2005</x:v>
      </x:c>
      <x:c r="F63" t="str">
        <x:v>40/113</x:v>
      </x:c>
      <x:c r="G63" t="str">
        <x:v>Common</x:v>
      </x:c>
      <x:c r="H63" t="str">
        <x:v>Normal</x:v>
      </x:c>
      <x:c r="I63" s="23" t="str">
        <x:v>Ditto shapeshifted as Squirtle</x:v>
      </x:c>
      <x:c r="J63" t="str">
        <x:v>OK</x:v>
      </x:c>
      <x:c r="K63" t="str">
        <x:v>verified</x:v>
      </x:c>
      <x:c r="L63" t="str">
        <x:v>masterlist</x:v>
      </x:c>
      <x:c r="M63"/>
      <x:c r="N63" t="str">
        <x:v>https://assets.tcgdex.net/en/ex/ex13/40/high.webp</x:v>
      </x:c>
      <x:c r="O63" t="str">
        <x:v>Non</x:v>
      </x:c>
      <x:c r="P63" s="23" t="str"/>
    </x:row>
    <x:row r="64">
      <x:c r="A64" t="str">
        <x:v>delta-ditto-rh-EN-2005-40</x:v>
      </x:c>
      <x:c r="B64" t="str">
        <x:v>EN</x:v>
      </x:c>
      <x:c r="C64" t="str">
        <x:v>US</x:v>
      </x:c>
      <x:c r="D64" s="23" t="str">
        <x:v>EX Delta Species</x:v>
      </x:c>
      <x:c r="E64" t="n">
        <x:v>2005</x:v>
      </x:c>
      <x:c r="F64" t="str">
        <x:v>40/113</x:v>
      </x:c>
      <x:c r="G64" t="str">
        <x:v>Common</x:v>
      </x:c>
      <x:c r="H64" t="str">
        <x:v>Reverse Holo</x:v>
      </x:c>
      <x:c r="I64" s="23" t="str">
        <x:v>Ditto shapeshifted as Squirtle</x:v>
      </x:c>
      <x:c r="J64" t="str">
        <x:v>OK</x:v>
      </x:c>
      <x:c r="K64" t="str">
        <x:v>verified</x:v>
      </x:c>
      <x:c r="L64" t="str">
        <x:v>masterlist</x:v>
      </x:c>
      <x:c r="M64"/>
      <x:c r="N64" t="str">
        <x:v>https://assets.tcgdex.net/en/ex/ex13/40/high.webp</x:v>
      </x:c>
      <x:c r="O64" t="str">
        <x:v>Non</x:v>
      </x:c>
      <x:c r="P64" s="23" t="str"/>
    </x:row>
    <x:row r="65">
      <x:c r="A65" t="str">
        <x:v>delta-ditto-EN-2005-64</x:v>
      </x:c>
      <x:c r="B65" t="str">
        <x:v>EN</x:v>
      </x:c>
      <x:c r="C65" t="str">
        <x:v>US</x:v>
      </x:c>
      <x:c r="D65" s="23" t="str">
        <x:v>EX Delta Species</x:v>
      </x:c>
      <x:c r="E65" t="n">
        <x:v>2005</x:v>
      </x:c>
      <x:c r="F65" t="str">
        <x:v>64/113</x:v>
      </x:c>
      <x:c r="G65" t="str">
        <x:v>Common</x:v>
      </x:c>
      <x:c r="H65" t="str">
        <x:v>Normal</x:v>
      </x:c>
      <x:c r="I65" s="23" t="str">
        <x:v>Ditto shapeshifted as Squirtle</x:v>
      </x:c>
      <x:c r="J65" t="str">
        <x:v>OK</x:v>
      </x:c>
      <x:c r="K65" t="str">
        <x:v>verified</x:v>
      </x:c>
      <x:c r="L65" t="str">
        <x:v>masterlist</x:v>
      </x:c>
      <x:c r="M65"/>
      <x:c r="N65" t="str">
        <x:v>https://assets.tcgdex.net/en/ex/ex13/64/high.webp</x:v>
      </x:c>
      <x:c r="O65" t="str">
        <x:v>Non</x:v>
      </x:c>
      <x:c r="P65" s="23" t="str"/>
    </x:row>
    <x:row r="66">
      <x:c r="A66" t="str">
        <x:v>delta-ditto-rh-EN-2005-64</x:v>
      </x:c>
      <x:c r="B66" t="str">
        <x:v>EN</x:v>
      </x:c>
      <x:c r="C66" t="str">
        <x:v>US</x:v>
      </x:c>
      <x:c r="D66" s="23" t="str">
        <x:v>EX Delta Species</x:v>
      </x:c>
      <x:c r="E66" t="n">
        <x:v>2005</x:v>
      </x:c>
      <x:c r="F66" t="str">
        <x:v>64/113</x:v>
      </x:c>
      <x:c r="G66" t="str">
        <x:v>Common</x:v>
      </x:c>
      <x:c r="H66" t="str">
        <x:v>Reverse Holo</x:v>
      </x:c>
      <x:c r="I66" s="23" t="str">
        <x:v>Ditto shapeshifted as Squirtle</x:v>
      </x:c>
      <x:c r="J66" t="str">
        <x:v>OK</x:v>
      </x:c>
      <x:c r="K66" t="str">
        <x:v>verified</x:v>
      </x:c>
      <x:c r="L66" t="str">
        <x:v>masterlist</x:v>
      </x:c>
      <x:c r="M66"/>
      <x:c r="N66" t="str">
        <x:v>https://assets.tcgdex.net/en/ex/ex13/64/high.webp</x:v>
      </x:c>
      <x:c r="O66" t="str">
        <x:v>Non</x:v>
      </x:c>
      <x:c r="P66" s="23" t="str"/>
    </x:row>
    <x:row r="67">
      <x:c r="A67" t="str">
        <x:v>cg-EN-2006-63</x:v>
      </x:c>
      <x:c r="B67" t="str">
        <x:v>EN</x:v>
      </x:c>
      <x:c r="C67" t="str">
        <x:v>US</x:v>
      </x:c>
      <x:c r="D67" s="23" t="str">
        <x:v>EX Crystal Guardians</x:v>
      </x:c>
      <x:c r="E67" t="n">
        <x:v>2006</x:v>
      </x:c>
      <x:c r="F67" t="str">
        <x:v>63/100</x:v>
      </x:c>
      <x:c r="G67" t="str">
        <x:v>Common</x:v>
      </x:c>
      <x:c r="H67" t="str">
        <x:v>Normal</x:v>
      </x:c>
      <x:c r="I67" s="23" t="str"/>
      <x:c r="J67" t="str">
        <x:v>OK</x:v>
      </x:c>
      <x:c r="K67" t="str">
        <x:v>verified</x:v>
      </x:c>
      <x:c r="L67" t="str">
        <x:v>masterlist</x:v>
      </x:c>
      <x:c r="M67"/>
      <x:c r="N67" t="str">
        <x:v>https://assets.tcgdex.net/en/ex/ex14/63/high.webp</x:v>
      </x:c>
      <x:c r="O67" t="str">
        <x:v>Non</x:v>
      </x:c>
      <x:c r="P67" s="23" t="str"/>
    </x:row>
    <x:row r="68">
      <x:c r="A68" t="str">
        <x:v>cg-rh-EN-2006-63</x:v>
      </x:c>
      <x:c r="B68" t="str">
        <x:v>EN</x:v>
      </x:c>
      <x:c r="C68" t="str">
        <x:v>US</x:v>
      </x:c>
      <x:c r="D68" s="23" t="str">
        <x:v>EX Crystal Guardians</x:v>
      </x:c>
      <x:c r="E68" t="n">
        <x:v>2006</x:v>
      </x:c>
      <x:c r="F68" t="str">
        <x:v>63/100</x:v>
      </x:c>
      <x:c r="G68" t="str">
        <x:v>Common</x:v>
      </x:c>
      <x:c r="H68" t="str">
        <x:v>Reverse Holo</x:v>
      </x:c>
      <x:c r="I68" s="23" t="str"/>
      <x:c r="J68" t="str">
        <x:v>OK</x:v>
      </x:c>
      <x:c r="K68" t="str">
        <x:v>verified</x:v>
      </x:c>
      <x:c r="L68" t="str">
        <x:v>masterlist</x:v>
      </x:c>
      <x:c r="M68"/>
      <x:c r="N68" t="str">
        <x:v>https://assets.tcgdex.net/en/ex/ex14/63/high.webp</x:v>
      </x:c>
      <x:c r="O68" t="str">
        <x:v>Non</x:v>
      </x:c>
      <x:c r="P68" s="23" t="str"/>
    </x:row>
    <x:row r="69">
      <x:c r="A69" t="str">
        <x:v>cg-EN-2006-64</x:v>
      </x:c>
      <x:c r="B69" t="str">
        <x:v>EN</x:v>
      </x:c>
      <x:c r="C69" t="str">
        <x:v>US</x:v>
      </x:c>
      <x:c r="D69" s="23" t="str">
        <x:v>EX Crystal Guardians</x:v>
      </x:c>
      <x:c r="E69" t="n">
        <x:v>2006</x:v>
      </x:c>
      <x:c r="F69" t="str">
        <x:v>64/100</x:v>
      </x:c>
      <x:c r="G69" t="str">
        <x:v>Common</x:v>
      </x:c>
      <x:c r="H69" t="str">
        <x:v>Normal</x:v>
      </x:c>
      <x:c r="I69" s="23" t="str"/>
      <x:c r="J69" t="str">
        <x:v>OK</x:v>
      </x:c>
      <x:c r="K69" t="str">
        <x:v>verified</x:v>
      </x:c>
      <x:c r="L69" t="str">
        <x:v>masterlist</x:v>
      </x:c>
      <x:c r="M69"/>
      <x:c r="N69" t="str">
        <x:v>https://assets.tcgdex.net/en/ex/ex14/64/high.webp</x:v>
      </x:c>
      <x:c r="O69" t="str">
        <x:v>Non</x:v>
      </x:c>
      <x:c r="P69" s="23" t="str"/>
    </x:row>
    <x:row r="70">
      <x:c r="A70" t="str">
        <x:v>cg-rh-EN-2006-64</x:v>
      </x:c>
      <x:c r="B70" t="str">
        <x:v>EN</x:v>
      </x:c>
      <x:c r="C70" t="str">
        <x:v>US</x:v>
      </x:c>
      <x:c r="D70" s="23" t="str">
        <x:v>EX Crystal Guardians</x:v>
      </x:c>
      <x:c r="E70" t="n">
        <x:v>2006</x:v>
      </x:c>
      <x:c r="F70" t="str">
        <x:v>64/100</x:v>
      </x:c>
      <x:c r="G70" t="str">
        <x:v>Common</x:v>
      </x:c>
      <x:c r="H70" t="str">
        <x:v>Reverse Holo</x:v>
      </x:c>
      <x:c r="I70" s="23" t="str"/>
      <x:c r="J70" t="str">
        <x:v>OK</x:v>
      </x:c>
      <x:c r="K70" t="str">
        <x:v>verified</x:v>
      </x:c>
      <x:c r="L70" t="str">
        <x:v>masterlist</x:v>
      </x:c>
      <x:c r="M70"/>
      <x:c r="N70" t="str">
        <x:v>https://assets.tcgdex.net/en/ex/ex14/64/high.webp</x:v>
      </x:c>
      <x:c r="O70" t="str">
        <x:v>Non</x:v>
      </x:c>
      <x:c r="P70" s="23" t="str"/>
    </x:row>
    <x:row r="71">
      <x:c r="A71" t="str">
        <x:v>cg-league-EN-2006-63</x:v>
      </x:c>
      <x:c r="B71" t="str">
        <x:v>EN</x:v>
      </x:c>
      <x:c r="C71" t="str">
        <x:v>US</x:v>
      </x:c>
      <x:c r="D71" s="23" t="str">
        <x:v>League &amp; Championship Cards</x:v>
      </x:c>
      <x:c r="E71" t="n">
        <x:v>2006</x:v>
      </x:c>
      <x:c r="F71" t="str">
        <x:v>63/100</x:v>
      </x:c>
      <x:c r="G71" t="str">
        <x:v>Common</x:v>
      </x:c>
      <x:c r="H71" t="str">
        <x:v>Normal</x:v>
      </x:c>
      <x:c r="I71" s="23" t="str">
        <x:v>City Championships promo</x:v>
      </x:c>
      <x:c r="J71" t="str">
        <x:v>Cassée</x:v>
      </x:c>
      <x:c r="K71" t="str">
        <x:v>sourced</x:v>
      </x:c>
      <x:c r="L71" t="str">
        <x:v>masterlist</x:v>
      </x:c>
      <x:c r="M71"/>
      <x:c r="N71" t="str">
        <x:v>https://tcgplayer-cdn.tcgplayer.com/product/209567_in_1000x1000.jpg</x:v>
      </x:c>
      <x:c r="O71" t="str">
        <x:v>Non</x:v>
      </x:c>
      <x:c r="P71" s="23" t="str">
        <x:v>Contrôle image en échec</x:v>
      </x:c>
    </x:row>
    <x:row r="72">
      <x:c r="A72" t="str">
        <x:v>pop4-EN-2006-14</x:v>
      </x:c>
      <x:c r="B72" t="str">
        <x:v>EN</x:v>
      </x:c>
      <x:c r="C72" t="str">
        <x:v>US</x:v>
      </x:c>
      <x:c r="D72" s="23" t="str">
        <x:v>POP Series 4</x:v>
      </x:c>
      <x:c r="E72" t="n">
        <x:v>2006</x:v>
      </x:c>
      <x:c r="F72" t="str">
        <x:v>14/17</x:v>
      </x:c>
      <x:c r="G72" t="str">
        <x:v>Common</x:v>
      </x:c>
      <x:c r="H72" t="str">
        <x:v>Normal</x:v>
      </x:c>
      <x:c r="I72" s="23" t="str"/>
      <x:c r="J72" t="str">
        <x:v>OK</x:v>
      </x:c>
      <x:c r="K72" t="str">
        <x:v>verified</x:v>
      </x:c>
      <x:c r="L72" t="str">
        <x:v>masterlist</x:v>
      </x:c>
      <x:c r="M72"/>
      <x:c r="N72" t="str">
        <x:v>https://assets.tcgdex.net/en/pop/pop4/14/high.webp</x:v>
      </x:c>
      <x:c r="O72" t="str">
        <x:v>Non</x:v>
      </x:c>
      <x:c r="P72" s="23" t="str"/>
    </x:row>
    <x:row r="73">
      <x:c r="A73" t="str">
        <x:v>wcd-2006-EN-83</x:v>
      </x:c>
      <x:c r="B73" t="str">
        <x:v>EN</x:v>
      </x:c>
      <x:c r="C73" t="str">
        <x:v>US</x:v>
      </x:c>
      <x:c r="D73" s="23" t="str">
        <x:v>World Championship Decks</x:v>
      </x:c>
      <x:c r="E73" t="n">
        <x:v>2006</x:v>
      </x:c>
      <x:c r="F73" t="str">
        <x:v>83/112</x:v>
      </x:c>
      <x:c r="G73" t="str">
        <x:v>Common</x:v>
      </x:c>
      <x:c r="H73" t="str">
        <x:v>Normal</x:v>
      </x:c>
      <x:c r="I73" s="23" t="str">
        <x:v>Hiroki Yano 2006 deck</x:v>
      </x:c>
      <x:c r="J73" t="str">
        <x:v>Cassée</x:v>
      </x:c>
      <x:c r="K73" t="str">
        <x:v>sourced</x:v>
      </x:c>
      <x:c r="L73" t="str">
        <x:v>masterlist</x:v>
      </x:c>
      <x:c r="M73"/>
      <x:c r="N73" t="str">
        <x:v>https://storage.googleapis.com/images.pricecharting.com/shqj7lc3y6qi2bid/1600.jpg</x:v>
      </x:c>
      <x:c r="O73" t="str">
        <x:v>Non</x:v>
      </x:c>
      <x:c r="P73" s="23" t="str">
        <x:v>Contrôle image en échec</x:v>
      </x:c>
    </x:row>
    <x:row r="74">
      <x:c r="A74" t="str">
        <x:v>misc-ditto-expo-EN-2007-64</x:v>
      </x:c>
      <x:c r="B74" t="str">
        <x:v>EN</x:v>
      </x:c>
      <x:c r="C74" t="str">
        <x:v>US</x:v>
      </x:c>
      <x:c r="D74" s="23" t="str">
        <x:v>Miscellaneous Promos</x:v>
      </x:c>
      <x:c r="E74" t="n">
        <x:v>2007</x:v>
      </x:c>
      <x:c r="F74" t="str">
        <x:v>64/113</x:v>
      </x:c>
      <x:c r="G74" t="str">
        <x:v>Common</x:v>
      </x:c>
      <x:c r="H74" t="str">
        <x:v>Normal</x:v>
      </x:c>
      <x:c r="I74" s="23" t="str">
        <x:v>Ditto (Squirtle) - Games Expo 2007</x:v>
      </x:c>
      <x:c r="J74" t="str">
        <x:v>OK</x:v>
      </x:c>
      <x:c r="K74" t="str">
        <x:v>verified</x:v>
      </x:c>
      <x:c r="L74" t="str">
        <x:v>masterlist</x:v>
      </x:c>
      <x:c r="M74"/>
      <x:c r="N74" t="str">
        <x:v>https://assets.tcgdex.net/en/ex/ex13/64/high.webp</x:v>
      </x:c>
      <x:c r="O74" t="str">
        <x:v>Non</x:v>
      </x:c>
      <x:c r="P74" s="23" t="str"/>
    </x:row>
    <x:row r="75">
      <x:c r="A75" t="str">
        <x:v>sw-EN-2007-112</x:v>
      </x:c>
      <x:c r="B75" t="str">
        <x:v>EN</x:v>
      </x:c>
      <x:c r="C75" t="str">
        <x:v>US</x:v>
      </x:c>
      <x:c r="D75" s="23" t="str">
        <x:v>Secret Wonders</x:v>
      </x:c>
      <x:c r="E75" t="n">
        <x:v>2007</x:v>
      </x:c>
      <x:c r="F75" t="str">
        <x:v>112/132</x:v>
      </x:c>
      <x:c r="G75" t="str">
        <x:v>Common</x:v>
      </x:c>
      <x:c r="H75" t="str">
        <x:v>Normal</x:v>
      </x:c>
      <x:c r="I75" s="23" t="str"/>
      <x:c r="J75" t="str">
        <x:v>OK</x:v>
      </x:c>
      <x:c r="K75" t="str">
        <x:v>verified</x:v>
      </x:c>
      <x:c r="L75" t="str">
        <x:v>masterlist</x:v>
      </x:c>
      <x:c r="M75"/>
      <x:c r="N75" t="str">
        <x:v>https://assets.tcgdex.net/en/dp/dp3/112/high.webp</x:v>
      </x:c>
      <x:c r="O75" t="str">
        <x:v>Non</x:v>
      </x:c>
      <x:c r="P75" s="23" t="str"/>
    </x:row>
    <x:row r="76">
      <x:c r="A76" t="str">
        <x:v>sw-rh-EN-2007-112</x:v>
      </x:c>
      <x:c r="B76" t="str">
        <x:v>EN</x:v>
      </x:c>
      <x:c r="C76" t="str">
        <x:v>US</x:v>
      </x:c>
      <x:c r="D76" s="23" t="str">
        <x:v>Secret Wonders</x:v>
      </x:c>
      <x:c r="E76" t="n">
        <x:v>2007</x:v>
      </x:c>
      <x:c r="F76" t="str">
        <x:v>112/132</x:v>
      </x:c>
      <x:c r="G76" t="str">
        <x:v>Common</x:v>
      </x:c>
      <x:c r="H76" t="str">
        <x:v>Reverse Holo</x:v>
      </x:c>
      <x:c r="I76" s="23" t="str"/>
      <x:c r="J76" t="str">
        <x:v>OK</x:v>
      </x:c>
      <x:c r="K76" t="str">
        <x:v>verified</x:v>
      </x:c>
      <x:c r="L76" t="str">
        <x:v>masterlist</x:v>
      </x:c>
      <x:c r="M76"/>
      <x:c r="N76" t="str">
        <x:v>https://assets.tcgdex.net/en/dp/dp3/112/high.webp</x:v>
      </x:c>
      <x:c r="O76" t="str">
        <x:v>Non</x:v>
      </x:c>
      <x:c r="P76" s="23" t="str"/>
    </x:row>
    <x:row r="77">
      <x:c r="A77" t="str">
        <x:v>platinum-EN-2009-96</x:v>
      </x:c>
      <x:c r="B77" t="str">
        <x:v>EN</x:v>
      </x:c>
      <x:c r="C77" t="str">
        <x:v>US</x:v>
      </x:c>
      <x:c r="D77" s="23" t="str">
        <x:v>Platinum</x:v>
      </x:c>
      <x:c r="E77" t="n">
        <x:v>2009</x:v>
      </x:c>
      <x:c r="F77" t="str">
        <x:v>96/127</x:v>
      </x:c>
      <x:c r="G77" t="str">
        <x:v>Common</x:v>
      </x:c>
      <x:c r="H77" t="str">
        <x:v>Normal</x:v>
      </x:c>
      <x:c r="I77" s="23" t="str"/>
      <x:c r="J77" t="str">
        <x:v>OK</x:v>
      </x:c>
      <x:c r="K77" t="str">
        <x:v>verified</x:v>
      </x:c>
      <x:c r="L77" t="str">
        <x:v>masterlist</x:v>
      </x:c>
      <x:c r="M77"/>
      <x:c r="N77" t="str">
        <x:v>https://assets.tcgdex.net/en/pl/pl1/96/high.webp</x:v>
      </x:c>
      <x:c r="O77" t="str">
        <x:v>Non</x:v>
      </x:c>
      <x:c r="P77" s="23" t="str"/>
    </x:row>
    <x:row r="78">
      <x:c r="A78" t="str">
        <x:v>platinum-rh-EN-2009-96</x:v>
      </x:c>
      <x:c r="B78" t="str">
        <x:v>EN</x:v>
      </x:c>
      <x:c r="C78" t="str">
        <x:v>US</x:v>
      </x:c>
      <x:c r="D78" s="23" t="str">
        <x:v>Platinum</x:v>
      </x:c>
      <x:c r="E78" t="n">
        <x:v>2009</x:v>
      </x:c>
      <x:c r="F78" t="str">
        <x:v>96/127</x:v>
      </x:c>
      <x:c r="G78" t="str">
        <x:v>Common</x:v>
      </x:c>
      <x:c r="H78" t="str">
        <x:v>Reverse Holo</x:v>
      </x:c>
      <x:c r="I78" s="23" t="str"/>
      <x:c r="J78" t="str">
        <x:v>OK</x:v>
      </x:c>
      <x:c r="K78" t="str">
        <x:v>verified</x:v>
      </x:c>
      <x:c r="L78" t="str">
        <x:v>masterlist</x:v>
      </x:c>
      <x:c r="M78"/>
      <x:c r="N78" t="str">
        <x:v>https://assets.tcgdex.net/en/pl/pl1/96/high.webp</x:v>
      </x:c>
      <x:c r="O78" t="str">
        <x:v>Non</x:v>
      </x:c>
      <x:c r="P78" s="23" t="str"/>
    </x:row>
    <x:row r="79">
      <x:c r="A79" t="str">
        <x:v>unleashed-EN-2010-63</x:v>
      </x:c>
      <x:c r="B79" t="str">
        <x:v>EN</x:v>
      </x:c>
      <x:c r="C79" t="str">
        <x:v>US</x:v>
      </x:c>
      <x:c r="D79" s="23" t="str">
        <x:v>HS-Unleashed</x:v>
      </x:c>
      <x:c r="E79" t="n">
        <x:v>2010</x:v>
      </x:c>
      <x:c r="F79" t="str">
        <x:v>63/95</x:v>
      </x:c>
      <x:c r="G79" t="str">
        <x:v>Common</x:v>
      </x:c>
      <x:c r="H79" t="str">
        <x:v>Normal</x:v>
      </x:c>
      <x:c r="I79" s="23" t="str"/>
      <x:c r="J79" t="str">
        <x:v>OK</x:v>
      </x:c>
      <x:c r="K79" t="str">
        <x:v>verified</x:v>
      </x:c>
      <x:c r="L79" t="str">
        <x:v>masterlist</x:v>
      </x:c>
      <x:c r="M79"/>
      <x:c r="N79" t="str">
        <x:v>https://assets.tcgdex.net/en/hgss/hgss2/63/high.webp</x:v>
      </x:c>
      <x:c r="O79" t="str">
        <x:v>Non</x:v>
      </x:c>
      <x:c r="P79" s="23" t="str"/>
    </x:row>
    <x:row r="80">
      <x:c r="A80" t="str">
        <x:v>unleashed-rh-EN-2010-63</x:v>
      </x:c>
      <x:c r="B80" t="str">
        <x:v>EN</x:v>
      </x:c>
      <x:c r="C80" t="str">
        <x:v>US</x:v>
      </x:c>
      <x:c r="D80" s="23" t="str">
        <x:v>HS-Unleashed</x:v>
      </x:c>
      <x:c r="E80" t="n">
        <x:v>2010</x:v>
      </x:c>
      <x:c r="F80" t="str">
        <x:v>63/95</x:v>
      </x:c>
      <x:c r="G80" t="str">
        <x:v>Common</x:v>
      </x:c>
      <x:c r="H80" t="str">
        <x:v>Reverse Holo</x:v>
      </x:c>
      <x:c r="I80" s="23" t="str"/>
      <x:c r="J80" t="str">
        <x:v>OK</x:v>
      </x:c>
      <x:c r="K80" t="str">
        <x:v>verified</x:v>
      </x:c>
      <x:c r="L80" t="str">
        <x:v>masterlist</x:v>
      </x:c>
      <x:c r="M80"/>
      <x:c r="N80" t="str">
        <x:v>https://assets.tcgdex.net/en/hgss/hgss2/63/high.webp</x:v>
      </x:c>
      <x:c r="O80" t="str">
        <x:v>Non</x:v>
      </x:c>
      <x:c r="P80" s="23" t="str"/>
    </x:row>
    <x:row r="81">
      <x:c r="A81" t="str">
        <x:v>bw-bc-EN-2012-29</x:v>
      </x:c>
      <x:c r="B81" t="str">
        <x:v>EN</x:v>
      </x:c>
      <x:c r="C81" t="str">
        <x:v>US</x:v>
      </x:c>
      <x:c r="D81" s="23" t="str">
        <x:v>Boundaries Crossed</x:v>
      </x:c>
      <x:c r="E81" t="n">
        <x:v>2012</x:v>
      </x:c>
      <x:c r="F81" t="str">
        <x:v>29/149</x:v>
      </x:c>
      <x:c r="G81" t="str">
        <x:v>Common</x:v>
      </x:c>
      <x:c r="H81" t="str">
        <x:v>Normal</x:v>
      </x:c>
      <x:c r="I81" s="23" t="str"/>
      <x:c r="J81" t="str">
        <x:v>OK</x:v>
      </x:c>
      <x:c r="K81" t="str">
        <x:v>verified</x:v>
      </x:c>
      <x:c r="L81" t="str">
        <x:v>masterlist</x:v>
      </x:c>
      <x:c r="M81"/>
      <x:c r="N81" t="str">
        <x:v>https://assets.tcgdex.net/en/bw/bw7/29/high.webp</x:v>
      </x:c>
      <x:c r="O81" t="str">
        <x:v>Non</x:v>
      </x:c>
      <x:c r="P81" s="23" t="str"/>
    </x:row>
    <x:row r="82">
      <x:c r="A82" t="str">
        <x:v>bw-bc-rh-EN-2012-29</x:v>
      </x:c>
      <x:c r="B82" t="str">
        <x:v>EN</x:v>
      </x:c>
      <x:c r="C82" t="str">
        <x:v>US</x:v>
      </x:c>
      <x:c r="D82" s="23" t="str">
        <x:v>Boundaries Crossed</x:v>
      </x:c>
      <x:c r="E82" t="n">
        <x:v>2012</x:v>
      </x:c>
      <x:c r="F82" t="str">
        <x:v>29/149</x:v>
      </x:c>
      <x:c r="G82" t="str">
        <x:v>Common</x:v>
      </x:c>
      <x:c r="H82" t="str">
        <x:v>Reverse Holo</x:v>
      </x:c>
      <x:c r="I82" s="23" t="str"/>
      <x:c r="J82" t="str">
        <x:v>OK</x:v>
      </x:c>
      <x:c r="K82" t="str">
        <x:v>verified</x:v>
      </x:c>
      <x:c r="L82" t="str">
        <x:v>masterlist</x:v>
      </x:c>
      <x:c r="M82"/>
      <x:c r="N82" t="str">
        <x:v>https://assets.tcgdex.net/en/bw/bw7/29/high.webp</x:v>
      </x:c>
      <x:c r="O82" t="str">
        <x:v>Non</x:v>
      </x:c>
      <x:c r="P82" s="23" t="str"/>
    </x:row>
    <x:row r="83">
      <x:c r="A83" t="str">
        <x:v>misc-bab-EN-2013-14</x:v>
      </x:c>
      <x:c r="B83" t="str">
        <x:v>EN</x:v>
      </x:c>
      <x:c r="C83" t="str">
        <x:v>US</x:v>
      </x:c>
      <x:c r="D83" s="23" t="str">
        <x:v>Miscellaneous Promos</x:v>
      </x:c>
      <x:c r="E83" t="n">
        <x:v>2013</x:v>
      </x:c>
      <x:c r="F83" t="str">
        <x:v>14/101</x:v>
      </x:c>
      <x:c r="G83" t="str">
        <x:v>Common</x:v>
      </x:c>
      <x:c r="H83" t="str">
        <x:v>Normal</x:v>
      </x:c>
      <x:c r="I83" s="23" t="str">
        <x:v>Build-A-Bear Workshop Exclusive</x:v>
      </x:c>
      <x:c r="J83" t="str">
        <x:v>OK</x:v>
      </x:c>
      <x:c r="K83" t="str">
        <x:v>verified</x:v>
      </x:c>
      <x:c r="L83" t="str">
        <x:v>masterlist</x:v>
      </x:c>
      <x:c r="M83"/>
      <x:c r="N83" t="str">
        <x:v>https://assets.tcgdex.net/en/bw/bw10/14/high.webp</x:v>
      </x:c>
      <x:c r="O83" t="str">
        <x:v>Non</x:v>
      </x:c>
      <x:c r="P83" s="23" t="str"/>
    </x:row>
    <x:row r="84">
      <x:c r="A84" t="str">
        <x:v>plasma-blast-EN-2013-14</x:v>
      </x:c>
      <x:c r="B84" t="str">
        <x:v>EN</x:v>
      </x:c>
      <x:c r="C84" t="str">
        <x:v>US</x:v>
      </x:c>
      <x:c r="D84" s="23" t="str">
        <x:v>Plasma Blast</x:v>
      </x:c>
      <x:c r="E84" t="n">
        <x:v>2013</x:v>
      </x:c>
      <x:c r="F84" t="str">
        <x:v>14/101</x:v>
      </x:c>
      <x:c r="G84" t="str">
        <x:v>Common</x:v>
      </x:c>
      <x:c r="H84" t="str">
        <x:v>Normal</x:v>
      </x:c>
      <x:c r="I84" s="23" t="str"/>
      <x:c r="J84" t="str">
        <x:v>OK</x:v>
      </x:c>
      <x:c r="K84" t="str">
        <x:v>verified</x:v>
      </x:c>
      <x:c r="L84" t="str">
        <x:v>masterlist</x:v>
      </x:c>
      <x:c r="M84"/>
      <x:c r="N84" t="str">
        <x:v>https://assets.tcgdex.net/en/bw/bw10/14/high.webp</x:v>
      </x:c>
      <x:c r="O84" t="str">
        <x:v>Non</x:v>
      </x:c>
      <x:c r="P84" s="23" t="str"/>
    </x:row>
    <x:row r="85">
      <x:c r="A85" t="str">
        <x:v>plasma-blast-rh-EN-2013-14</x:v>
      </x:c>
      <x:c r="B85" t="str">
        <x:v>EN</x:v>
      </x:c>
      <x:c r="C85" t="str">
        <x:v>US</x:v>
      </x:c>
      <x:c r="D85" s="23" t="str">
        <x:v>Plasma Blast</x:v>
      </x:c>
      <x:c r="E85" t="n">
        <x:v>2013</x:v>
      </x:c>
      <x:c r="F85" t="str">
        <x:v>14/101</x:v>
      </x:c>
      <x:c r="G85" t="str">
        <x:v>Common</x:v>
      </x:c>
      <x:c r="H85" t="str">
        <x:v>Reverse Holo</x:v>
      </x:c>
      <x:c r="I85" s="23" t="str"/>
      <x:c r="J85" t="str">
        <x:v>OK</x:v>
      </x:c>
      <x:c r="K85" t="str">
        <x:v>verified</x:v>
      </x:c>
      <x:c r="L85" t="str">
        <x:v>masterlist</x:v>
      </x:c>
      <x:c r="M85"/>
      <x:c r="N85" t="str">
        <x:v>https://assets.tcgdex.net/en/bw/bw10/14/high.webp</x:v>
      </x:c>
      <x:c r="O85" t="str">
        <x:v>Non</x:v>
      </x:c>
      <x:c r="P85" s="23" t="str"/>
    </x:row>
    <x:row r="86">
      <x:c r="A86" t="str">
        <x:v>plasma-storm-EN-2013-24</x:v>
      </x:c>
      <x:c r="B86" t="str">
        <x:v>EN</x:v>
      </x:c>
      <x:c r="C86" t="str">
        <x:v>US</x:v>
      </x:c>
      <x:c r="D86" s="23" t="str">
        <x:v>Plasma Storm</x:v>
      </x:c>
      <x:c r="E86" t="n">
        <x:v>2013</x:v>
      </x:c>
      <x:c r="F86" t="str">
        <x:v>24/135</x:v>
      </x:c>
      <x:c r="G86" t="str">
        <x:v>Common</x:v>
      </x:c>
      <x:c r="H86" t="str">
        <x:v>Normal</x:v>
      </x:c>
      <x:c r="I86" s="23" t="str"/>
      <x:c r="J86" t="str">
        <x:v>OK</x:v>
      </x:c>
      <x:c r="K86" t="str">
        <x:v>verified</x:v>
      </x:c>
      <x:c r="L86" t="str">
        <x:v>masterlist</x:v>
      </x:c>
      <x:c r="M86"/>
      <x:c r="N86" t="str">
        <x:v>https://assets.tcgdex.net/en/bw/bw8/24/high.webp</x:v>
      </x:c>
      <x:c r="O86" t="str">
        <x:v>Non</x:v>
      </x:c>
      <x:c r="P86" s="23" t="str"/>
    </x:row>
    <x:row r="87">
      <x:c r="A87" t="str">
        <x:v>plasma-storm-rh-EN-2013-24</x:v>
      </x:c>
      <x:c r="B87" t="str">
        <x:v>EN</x:v>
      </x:c>
      <x:c r="C87" t="str">
        <x:v>US</x:v>
      </x:c>
      <x:c r="D87" s="23" t="str">
        <x:v>Plasma Storm</x:v>
      </x:c>
      <x:c r="E87" t="n">
        <x:v>2013</x:v>
      </x:c>
      <x:c r="F87" t="str">
        <x:v>24/135</x:v>
      </x:c>
      <x:c r="G87" t="str">
        <x:v>Common</x:v>
      </x:c>
      <x:c r="H87" t="str">
        <x:v>Reverse Holo</x:v>
      </x:c>
      <x:c r="I87" s="23" t="str"/>
      <x:c r="J87" t="str">
        <x:v>OK</x:v>
      </x:c>
      <x:c r="K87" t="str">
        <x:v>verified</x:v>
      </x:c>
      <x:c r="L87" t="str">
        <x:v>masterlist</x:v>
      </x:c>
      <x:c r="M87"/>
      <x:c r="N87" t="str">
        <x:v>https://assets.tcgdex.net/en/bw/bw8/24/high.webp</x:v>
      </x:c>
      <x:c r="O87" t="str">
        <x:v>Non</x:v>
      </x:c>
      <x:c r="P87" s="23" t="str"/>
    </x:row>
    <x:row r="88">
      <x:c r="A88" t="str">
        <x:v>xy-champ-2016-finalist-EN</x:v>
      </x:c>
      <x:c r="B88" t="str">
        <x:v>EN</x:v>
      </x:c>
      <x:c r="C88" t="str">
        <x:v>US</x:v>
      </x:c>
      <x:c r="D88" s="23" t="str">
        <x:v>XY Promos</x:v>
      </x:c>
      <x:c r="E88" t="n">
        <x:v>2016</x:v>
      </x:c>
      <x:c r="F88" t="str">
        <x:v>XY176</x:v>
      </x:c>
      <x:c r="G88" t="str">
        <x:v>Rare</x:v>
      </x:c>
      <x:c r="H88" t="str">
        <x:v>Normal</x:v>
      </x:c>
      <x:c r="I88" s="23" t="str">
        <x:v>Champions Festival 2016 - Finalist</x:v>
      </x:c>
      <x:c r="J88" t="str">
        <x:v>À vérifier</x:v>
      </x:c>
      <x:c r="K88" t="str">
        <x:v>image_ok</x:v>
      </x:c>
      <x:c r="L88" t="str">
        <x:v>masterlist</x:v>
      </x:c>
      <x:c r="M88"/>
      <x:c r="N88" t="str">
        <x:v>https://assets.tcgdex.net/en/xy/xyp/XY176/high.webp</x:v>
      </x:c>
      <x:c r="O88" t="str">
        <x:v>Non</x:v>
      </x:c>
      <x:c r="P88" s="23" t="str">
        <x:v>Sous-variante stockée dans la note</x:v>
      </x:c>
    </x:row>
    <x:row r="89">
      <x:c r="A89" t="str">
        <x:v>xy-champ-2016-staff-EN</x:v>
      </x:c>
      <x:c r="B89" t="str">
        <x:v>EN</x:v>
      </x:c>
      <x:c r="C89" t="str">
        <x:v>US</x:v>
      </x:c>
      <x:c r="D89" s="23" t="str">
        <x:v>XY Promos</x:v>
      </x:c>
      <x:c r="E89" t="n">
        <x:v>2016</x:v>
      </x:c>
      <x:c r="F89" t="str">
        <x:v>XY176</x:v>
      </x:c>
      <x:c r="G89" t="str">
        <x:v>Rare</x:v>
      </x:c>
      <x:c r="H89" t="str">
        <x:v>Normal</x:v>
      </x:c>
      <x:c r="I89" s="23" t="str">
        <x:v>Champions Festival 2016 - Staff</x:v>
      </x:c>
      <x:c r="J89" t="str">
        <x:v>À vérifier</x:v>
      </x:c>
      <x:c r="K89" t="str">
        <x:v>image_ok</x:v>
      </x:c>
      <x:c r="L89" t="str">
        <x:v>masterlist</x:v>
      </x:c>
      <x:c r="M89"/>
      <x:c r="N89" t="str">
        <x:v>https://assets.tcgdex.net/en/xy/xyp/XY176/high.webp</x:v>
      </x:c>
      <x:c r="O89" t="str">
        <x:v>Non</x:v>
      </x:c>
      <x:c r="P89" s="23" t="str">
        <x:v>Sous-variante stockée dans la note</x:v>
      </x:c>
    </x:row>
    <x:row r="90">
      <x:c r="A90" t="str">
        <x:v>xy-champ-2016-t32-EN</x:v>
      </x:c>
      <x:c r="B90" t="str">
        <x:v>EN</x:v>
      </x:c>
      <x:c r="C90" t="str">
        <x:v>US</x:v>
      </x:c>
      <x:c r="D90" s="23" t="str">
        <x:v>XY Promos</x:v>
      </x:c>
      <x:c r="E90" t="n">
        <x:v>2016</x:v>
      </x:c>
      <x:c r="F90" t="str">
        <x:v>XY176</x:v>
      </x:c>
      <x:c r="G90" t="str">
        <x:v>Rare</x:v>
      </x:c>
      <x:c r="H90" t="str">
        <x:v>Normal</x:v>
      </x:c>
      <x:c r="I90" s="23" t="str">
        <x:v>Champions Festival 2016 - Top Thirty-Two</x:v>
      </x:c>
      <x:c r="J90" t="str">
        <x:v>À vérifier</x:v>
      </x:c>
      <x:c r="K90" t="str">
        <x:v>image_ok</x:v>
      </x:c>
      <x:c r="L90" t="str">
        <x:v>masterlist</x:v>
      </x:c>
      <x:c r="M90"/>
      <x:c r="N90" t="str">
        <x:v>https://assets.tcgdex.net/en/xy/xyp/XY176/high.webp</x:v>
      </x:c>
      <x:c r="O90" t="str">
        <x:v>Non</x:v>
      </x:c>
      <x:c r="P90" s="23" t="str">
        <x:v>Sous-variante stockée dans la note</x:v>
      </x:c>
    </x:row>
    <x:row r="91">
      <x:c r="A91" t="str">
        <x:v>xy-champ-2016-sf-EN</x:v>
      </x:c>
      <x:c r="B91" t="str">
        <x:v>EN</x:v>
      </x:c>
      <x:c r="C91" t="str">
        <x:v>US</x:v>
      </x:c>
      <x:c r="D91" s="23" t="str">
        <x:v>XY Promos</x:v>
      </x:c>
      <x:c r="E91" t="n">
        <x:v>2016</x:v>
      </x:c>
      <x:c r="F91" t="str">
        <x:v>XY176</x:v>
      </x:c>
      <x:c r="G91" t="str">
        <x:v>Rare</x:v>
      </x:c>
      <x:c r="H91" t="str">
        <x:v>Normal</x:v>
      </x:c>
      <x:c r="I91" s="23" t="str">
        <x:v>Champions Festival 2016 - Semi-Finalist</x:v>
      </x:c>
      <x:c r="J91" t="str">
        <x:v>À vérifier</x:v>
      </x:c>
      <x:c r="K91" t="str">
        <x:v>image_ok</x:v>
      </x:c>
      <x:c r="L91" t="str">
        <x:v>masterlist</x:v>
      </x:c>
      <x:c r="M91"/>
      <x:c r="N91" t="str">
        <x:v>https://assets.tcgdex.net/en/xy/xyp/XY176/high.webp</x:v>
      </x:c>
      <x:c r="O91" t="str">
        <x:v>Non</x:v>
      </x:c>
      <x:c r="P91" s="23" t="str">
        <x:v>Sous-variante stockée dans la note</x:v>
      </x:c>
    </x:row>
    <x:row r="92">
      <x:c r="A92" t="str">
        <x:v>xy-champ-2016-EN</x:v>
      </x:c>
      <x:c r="B92" t="str">
        <x:v>EN</x:v>
      </x:c>
      <x:c r="C92" t="str">
        <x:v>US</x:v>
      </x:c>
      <x:c r="D92" s="23" t="str">
        <x:v>XY Promos</x:v>
      </x:c>
      <x:c r="E92" t="n">
        <x:v>2016</x:v>
      </x:c>
      <x:c r="F92" t="str">
        <x:v>XY176</x:v>
      </x:c>
      <x:c r="G92" t="str">
        <x:v>Rare</x:v>
      </x:c>
      <x:c r="H92" t="str">
        <x:v>Normal</x:v>
      </x:c>
      <x:c r="I92" s="23" t="str">
        <x:v>Champions Festival 2016</x:v>
      </x:c>
      <x:c r="J92" t="str">
        <x:v>À vérifier</x:v>
      </x:c>
      <x:c r="K92" t="str">
        <x:v>image_ok</x:v>
      </x:c>
      <x:c r="L92" t="str">
        <x:v>masterlist</x:v>
      </x:c>
      <x:c r="M92"/>
      <x:c r="N92" t="str">
        <x:v>https://assets.tcgdex.net/en/xy/xyp/XY176/high.webp</x:v>
      </x:c>
      <x:c r="O92" t="str">
        <x:v>Non</x:v>
      </x:c>
      <x:c r="P92" s="23" t="str">
        <x:v>Sous-variante stockée dans la note</x:v>
      </x:c>
    </x:row>
    <x:row r="93">
      <x:c r="A93" t="str">
        <x:v>xy-champ-2016-champion-EN</x:v>
      </x:c>
      <x:c r="B93" t="str">
        <x:v>EN</x:v>
      </x:c>
      <x:c r="C93" t="str">
        <x:v>US</x:v>
      </x:c>
      <x:c r="D93" s="23" t="str">
        <x:v>XY Promos</x:v>
      </x:c>
      <x:c r="E93" t="n">
        <x:v>2016</x:v>
      </x:c>
      <x:c r="F93" t="str">
        <x:v>XY176</x:v>
      </x:c>
      <x:c r="G93" t="str">
        <x:v>Rare</x:v>
      </x:c>
      <x:c r="H93" t="str">
        <x:v>Normal</x:v>
      </x:c>
      <x:c r="I93" s="23" t="str">
        <x:v>Champions Festival 2016 - Champion</x:v>
      </x:c>
      <x:c r="J93" t="str">
        <x:v>À vérifier</x:v>
      </x:c>
      <x:c r="K93" t="str">
        <x:v>image_ok</x:v>
      </x:c>
      <x:c r="L93" t="str">
        <x:v>masterlist</x:v>
      </x:c>
      <x:c r="M93"/>
      <x:c r="N93" t="str">
        <x:v>https://assets.tcgdex.net/en/xy/xyp/XY176/high.webp</x:v>
      </x:c>
      <x:c r="O93" t="str">
        <x:v>Non</x:v>
      </x:c>
      <x:c r="P93" s="23" t="str">
        <x:v>Sous-variante stockée dans la note</x:v>
      </x:c>
    </x:row>
    <x:row r="94">
      <x:c r="A94" t="str">
        <x:v>xy-champ-2016-qf-EN</x:v>
      </x:c>
      <x:c r="B94" t="str">
        <x:v>EN</x:v>
      </x:c>
      <x:c r="C94" t="str">
        <x:v>US</x:v>
      </x:c>
      <x:c r="D94" s="23" t="str">
        <x:v>XY Promos</x:v>
      </x:c>
      <x:c r="E94" t="n">
        <x:v>2016</x:v>
      </x:c>
      <x:c r="F94" t="str">
        <x:v>XY176</x:v>
      </x:c>
      <x:c r="G94" t="str">
        <x:v>Rare</x:v>
      </x:c>
      <x:c r="H94" t="str">
        <x:v>Normal</x:v>
      </x:c>
      <x:c r="I94" s="23" t="str">
        <x:v>Champions Festival 2016 - Quarter Finalist</x:v>
      </x:c>
      <x:c r="J94" t="str">
        <x:v>À vérifier</x:v>
      </x:c>
      <x:c r="K94" t="str">
        <x:v>image_ok</x:v>
      </x:c>
      <x:c r="L94" t="str">
        <x:v>masterlist</x:v>
      </x:c>
      <x:c r="M94"/>
      <x:c r="N94" t="str">
        <x:v>https://assets.tcgdex.net/en/xy/xyp/XY176/high.webp</x:v>
      </x:c>
      <x:c r="O94" t="str">
        <x:v>Non</x:v>
      </x:c>
      <x:c r="P94" s="23" t="str">
        <x:v>Sous-variante stockée dans la note</x:v>
      </x:c>
    </x:row>
    <x:row r="95">
      <x:c r="A95" t="str">
        <x:v>xy-champ-2016-t16-EN</x:v>
      </x:c>
      <x:c r="B95" t="str">
        <x:v>EN</x:v>
      </x:c>
      <x:c r="C95" t="str">
        <x:v>US</x:v>
      </x:c>
      <x:c r="D95" s="23" t="str">
        <x:v>XY Promos</x:v>
      </x:c>
      <x:c r="E95" t="n">
        <x:v>2016</x:v>
      </x:c>
      <x:c r="F95" t="str">
        <x:v>XY176</x:v>
      </x:c>
      <x:c r="G95" t="str">
        <x:v>Rare</x:v>
      </x:c>
      <x:c r="H95" t="str">
        <x:v>Normal</x:v>
      </x:c>
      <x:c r="I95" s="23" t="str">
        <x:v>Champions Festival 2016 - Top Sixteen</x:v>
      </x:c>
      <x:c r="J95" t="str">
        <x:v>À vérifier</x:v>
      </x:c>
      <x:c r="K95" t="str">
        <x:v>image_ok</x:v>
      </x:c>
      <x:c r="L95" t="str">
        <x:v>masterlist</x:v>
      </x:c>
      <x:c r="M95"/>
      <x:c r="N95" t="str">
        <x:v>https://assets.tcgdex.net/en/xy/xyp/XY176/high.webp</x:v>
      </x:c>
      <x:c r="O95" t="str">
        <x:v>Non</x:v>
      </x:c>
      <x:c r="P95" s="23" t="str">
        <x:v>Sous-variante stockée dans la note</x:v>
      </x:c>
    </x:row>
    <x:row r="96">
      <x:c r="A96" t="str">
        <x:v>sm-ub-promo-EN-2019-33</x:v>
      </x:c>
      <x:c r="B96" t="str">
        <x:v>EN</x:v>
      </x:c>
      <x:c r="C96" t="str">
        <x:v>US</x:v>
      </x:c>
      <x:c r="D96" s="23" t="str">
        <x:v>Blister Exclusives</x:v>
      </x:c>
      <x:c r="E96" t="n">
        <x:v>2019</x:v>
      </x:c>
      <x:c r="F96" t="str">
        <x:v>33/214</x:v>
      </x:c>
      <x:c r="G96" t="str">
        <x:v>Holo Rare</x:v>
      </x:c>
      <x:c r="H96" t="str">
        <x:v>Holo</x:v>
      </x:c>
      <x:c r="I96" s="23" t="str">
        <x:v>Premium Collection Promo</x:v>
      </x:c>
      <x:c r="J96" t="str">
        <x:v>OK</x:v>
      </x:c>
      <x:c r="K96" t="str">
        <x:v>verified</x:v>
      </x:c>
      <x:c r="L96" t="str">
        <x:v>masterlist</x:v>
      </x:c>
      <x:c r="M96"/>
      <x:c r="N96" t="str">
        <x:v>https://assets.tcgdex.net/en/sm/sm10/33/high.webp</x:v>
      </x:c>
      <x:c r="O96" t="str">
        <x:v>Non</x:v>
      </x:c>
      <x:c r="P96" s="23" t="str"/>
    </x:row>
    <x:row r="97">
      <x:c r="A97" t="str">
        <x:v>sm-champ-2019-staff-EN</x:v>
      </x:c>
      <x:c r="B97" t="str">
        <x:v>EN</x:v>
      </x:c>
      <x:c r="C97" t="str">
        <x:v>US</x:v>
      </x:c>
      <x:c r="D97" s="23" t="str">
        <x:v>SM Promos</x:v>
      </x:c>
      <x:c r="E97" t="n">
        <x:v>2019</x:v>
      </x:c>
      <x:c r="F97" t="str">
        <x:v>SM231</x:v>
      </x:c>
      <x:c r="G97" t="str">
        <x:v>Rare</x:v>
      </x:c>
      <x:c r="H97" t="str">
        <x:v>Normal</x:v>
      </x:c>
      <x:c r="I97" s="23" t="str">
        <x:v>Champions Festival Worlds 2019 - Staff</x:v>
      </x:c>
      <x:c r="J97" t="str">
        <x:v>À vérifier</x:v>
      </x:c>
      <x:c r="K97" t="str">
        <x:v>image_ok</x:v>
      </x:c>
      <x:c r="L97" t="str">
        <x:v>masterlist</x:v>
      </x:c>
      <x:c r="M97"/>
      <x:c r="N97" t="str">
        <x:v>https://images.pokemontcg.io/smp/SM231_hires.png</x:v>
      </x:c>
      <x:c r="O97" t="str">
        <x:v>Non</x:v>
      </x:c>
      <x:c r="P97" s="23" t="str">
        <x:v>Sous-variante stockée dans la note</x:v>
      </x:c>
    </x:row>
    <x:row r="98">
      <x:c r="A98" t="str">
        <x:v>sm-champ-2019-sf-EN</x:v>
      </x:c>
      <x:c r="B98" t="str">
        <x:v>EN</x:v>
      </x:c>
      <x:c r="C98" t="str">
        <x:v>US</x:v>
      </x:c>
      <x:c r="D98" s="23" t="str">
        <x:v>SM Promos</x:v>
      </x:c>
      <x:c r="E98" t="n">
        <x:v>2019</x:v>
      </x:c>
      <x:c r="F98" t="str">
        <x:v>SM231</x:v>
      </x:c>
      <x:c r="G98" t="str">
        <x:v>Rare</x:v>
      </x:c>
      <x:c r="H98" t="str">
        <x:v>Normal</x:v>
      </x:c>
      <x:c r="I98" s="23" t="str">
        <x:v>Champions Festival Worlds 2019 - Semi-Finalist</x:v>
      </x:c>
      <x:c r="J98" t="str">
        <x:v>À vérifier</x:v>
      </x:c>
      <x:c r="K98" t="str">
        <x:v>image_ok</x:v>
      </x:c>
      <x:c r="L98" t="str">
        <x:v>masterlist</x:v>
      </x:c>
      <x:c r="M98"/>
      <x:c r="N98" t="str">
        <x:v>https://images.pokemontcg.io/smp/SM231_hires.png</x:v>
      </x:c>
      <x:c r="O98" t="str">
        <x:v>Non</x:v>
      </x:c>
      <x:c r="P98" s="23" t="str">
        <x:v>Sous-variante stockée dans la note</x:v>
      </x:c>
    </x:row>
    <x:row r="99">
      <x:c r="A99" t="str">
        <x:v>sm-champ-2019-qf-EN</x:v>
      </x:c>
      <x:c r="B99" t="str">
        <x:v>EN</x:v>
      </x:c>
      <x:c r="C99" t="str">
        <x:v>US</x:v>
      </x:c>
      <x:c r="D99" s="23" t="str">
        <x:v>SM Promos</x:v>
      </x:c>
      <x:c r="E99" t="n">
        <x:v>2019</x:v>
      </x:c>
      <x:c r="F99" t="str">
        <x:v>SM231</x:v>
      </x:c>
      <x:c r="G99" t="str">
        <x:v>Rare</x:v>
      </x:c>
      <x:c r="H99" t="str">
        <x:v>Normal</x:v>
      </x:c>
      <x:c r="I99" s="23" t="str">
        <x:v>Champions Festival Worlds 2019 - Quarter Finalist</x:v>
      </x:c>
      <x:c r="J99" t="str">
        <x:v>À vérifier</x:v>
      </x:c>
      <x:c r="K99" t="str">
        <x:v>image_ok</x:v>
      </x:c>
      <x:c r="L99" t="str">
        <x:v>masterlist</x:v>
      </x:c>
      <x:c r="M99"/>
      <x:c r="N99" t="str">
        <x:v>https://images.pokemontcg.io/smp/SM231_hires.png</x:v>
      </x:c>
      <x:c r="O99" t="str">
        <x:v>Non</x:v>
      </x:c>
      <x:c r="P99" s="23" t="str">
        <x:v>Sous-variante stockée dans la note</x:v>
      </x:c>
    </x:row>
    <x:row r="100">
      <x:c r="A100" t="str">
        <x:v>sm-champ-2019-champion-EN</x:v>
      </x:c>
      <x:c r="B100" t="str">
        <x:v>EN</x:v>
      </x:c>
      <x:c r="C100" t="str">
        <x:v>US</x:v>
      </x:c>
      <x:c r="D100" s="23" t="str">
        <x:v>SM Promos</x:v>
      </x:c>
      <x:c r="E100" t="n">
        <x:v>2019</x:v>
      </x:c>
      <x:c r="F100" t="str">
        <x:v>SM231</x:v>
      </x:c>
      <x:c r="G100" t="str">
        <x:v>Rare</x:v>
      </x:c>
      <x:c r="H100" t="str">
        <x:v>Normal</x:v>
      </x:c>
      <x:c r="I100" s="23" t="str">
        <x:v>Champions Festival Worlds 2019 - Champion</x:v>
      </x:c>
      <x:c r="J100" t="str">
        <x:v>À vérifier</x:v>
      </x:c>
      <x:c r="K100" t="str">
        <x:v>image_ok</x:v>
      </x:c>
      <x:c r="L100" t="str">
        <x:v>masterlist</x:v>
      </x:c>
      <x:c r="M100"/>
      <x:c r="N100" t="str">
        <x:v>https://images.pokemontcg.io/smp/SM231_hires.png</x:v>
      </x:c>
      <x:c r="O100" t="str">
        <x:v>Non</x:v>
      </x:c>
      <x:c r="P100" s="23" t="str">
        <x:v>Sous-variante stockée dans la note</x:v>
      </x:c>
    </x:row>
    <x:row r="101">
      <x:c r="A101" t="str">
        <x:v>sm-champ-2019-finalist-EN</x:v>
      </x:c>
      <x:c r="B101" t="str">
        <x:v>EN</x:v>
      </x:c>
      <x:c r="C101" t="str">
        <x:v>US</x:v>
      </x:c>
      <x:c r="D101" s="23" t="str">
        <x:v>SM Promos</x:v>
      </x:c>
      <x:c r="E101" t="n">
        <x:v>2019</x:v>
      </x:c>
      <x:c r="F101" t="str">
        <x:v>SM231</x:v>
      </x:c>
      <x:c r="G101" t="str">
        <x:v>Rare</x:v>
      </x:c>
      <x:c r="H101" t="str">
        <x:v>Normal</x:v>
      </x:c>
      <x:c r="I101" s="23" t="str">
        <x:v>Champions Festival Worlds 2019 - Finalist</x:v>
      </x:c>
      <x:c r="J101" t="str">
        <x:v>À vérifier</x:v>
      </x:c>
      <x:c r="K101" t="str">
        <x:v>image_ok</x:v>
      </x:c>
      <x:c r="L101" t="str">
        <x:v>masterlist</x:v>
      </x:c>
      <x:c r="M101"/>
      <x:c r="N101" t="str">
        <x:v>https://images.pokemontcg.io/smp/SM231_hires.png</x:v>
      </x:c>
      <x:c r="O101" t="str">
        <x:v>Non</x:v>
      </x:c>
      <x:c r="P101" s="23" t="str">
        <x:v>Sous-variante stockée dans la note</x:v>
      </x:c>
    </x:row>
    <x:row r="102">
      <x:c r="A102" t="str">
        <x:v>sm-champ-2019-t16-EN</x:v>
      </x:c>
      <x:c r="B102" t="str">
        <x:v>EN</x:v>
      </x:c>
      <x:c r="C102" t="str">
        <x:v>US</x:v>
      </x:c>
      <x:c r="D102" s="23" t="str">
        <x:v>SM Promos</x:v>
      </x:c>
      <x:c r="E102" t="n">
        <x:v>2019</x:v>
      </x:c>
      <x:c r="F102" t="str">
        <x:v>SM231</x:v>
      </x:c>
      <x:c r="G102" t="str">
        <x:v>Rare</x:v>
      </x:c>
      <x:c r="H102" t="str">
        <x:v>Normal</x:v>
      </x:c>
      <x:c r="I102" s="23" t="str">
        <x:v>Champions Festival Worlds 2019 - Top Sixteen</x:v>
      </x:c>
      <x:c r="J102" t="str">
        <x:v>À vérifier</x:v>
      </x:c>
      <x:c r="K102" t="str">
        <x:v>image_ok</x:v>
      </x:c>
      <x:c r="L102" t="str">
        <x:v>masterlist</x:v>
      </x:c>
      <x:c r="M102"/>
      <x:c r="N102" t="str">
        <x:v>https://images.pokemontcg.io/smp/SM231_hires.png</x:v>
      </x:c>
      <x:c r="O102" t="str">
        <x:v>Non</x:v>
      </x:c>
      <x:c r="P102" s="23" t="str">
        <x:v>Sous-variante stockée dans la note</x:v>
      </x:c>
    </x:row>
    <x:row r="103">
      <x:c r="A103" t="str">
        <x:v>sm-champ-2019-t32-EN</x:v>
      </x:c>
      <x:c r="B103" t="str">
        <x:v>EN</x:v>
      </x:c>
      <x:c r="C103" t="str">
        <x:v>US</x:v>
      </x:c>
      <x:c r="D103" s="23" t="str">
        <x:v>SM Promos</x:v>
      </x:c>
      <x:c r="E103" t="n">
        <x:v>2019</x:v>
      </x:c>
      <x:c r="F103" t="str">
        <x:v>SM231</x:v>
      </x:c>
      <x:c r="G103" t="str">
        <x:v>Rare</x:v>
      </x:c>
      <x:c r="H103" t="str">
        <x:v>Normal</x:v>
      </x:c>
      <x:c r="I103" s="23" t="str">
        <x:v>Champions Festival Worlds 2019 - Top Thirty-Two</x:v>
      </x:c>
      <x:c r="J103" t="str">
        <x:v>À vérifier</x:v>
      </x:c>
      <x:c r="K103" t="str">
        <x:v>image_ok</x:v>
      </x:c>
      <x:c r="L103" t="str">
        <x:v>masterlist</x:v>
      </x:c>
      <x:c r="M103"/>
      <x:c r="N103" t="str">
        <x:v>https://images.pokemontcg.io/smp/SM231_hires.png</x:v>
      </x:c>
      <x:c r="O103" t="str">
        <x:v>Non</x:v>
      </x:c>
      <x:c r="P103" s="23" t="str">
        <x:v>Sous-variante stockée dans la note</x:v>
      </x:c>
    </x:row>
    <x:row r="104">
      <x:c r="A104" t="str">
        <x:v>sm-champ-2019-EN</x:v>
      </x:c>
      <x:c r="B104" t="str">
        <x:v>EN</x:v>
      </x:c>
      <x:c r="C104" t="str">
        <x:v>US</x:v>
      </x:c>
      <x:c r="D104" s="23" t="str">
        <x:v>SM Promos</x:v>
      </x:c>
      <x:c r="E104" t="n">
        <x:v>2019</x:v>
      </x:c>
      <x:c r="F104" t="str">
        <x:v>SM231</x:v>
      </x:c>
      <x:c r="G104" t="str">
        <x:v>Rare</x:v>
      </x:c>
      <x:c r="H104" t="str">
        <x:v>Normal</x:v>
      </x:c>
      <x:c r="I104" s="23" t="str">
        <x:v>Champions Festival Worlds 2019</x:v>
      </x:c>
      <x:c r="J104" t="str">
        <x:v>À vérifier</x:v>
      </x:c>
      <x:c r="K104" t="str">
        <x:v>image_ok</x:v>
      </x:c>
      <x:c r="L104" t="str">
        <x:v>masterlist</x:v>
      </x:c>
      <x:c r="M104"/>
      <x:c r="N104" t="str">
        <x:v>https://images.pokemontcg.io/smp/SM231_hires.png</x:v>
      </x:c>
      <x:c r="O104" t="str">
        <x:v>Non</x:v>
      </x:c>
      <x:c r="P104" s="23" t="str">
        <x:v>Sous-variante stockée dans la note</x:v>
      </x:c>
    </x:row>
    <x:row r="105">
      <x:c r="A105" t="str">
        <x:v>sm-teamup-EN-2019-22</x:v>
      </x:c>
      <x:c r="B105" t="str">
        <x:v>EN</x:v>
      </x:c>
      <x:c r="C105" t="str">
        <x:v>US</x:v>
      </x:c>
      <x:c r="D105" s="23" t="str">
        <x:v>SM-Team Up</x:v>
      </x:c>
      <x:c r="E105" t="n">
        <x:v>2019</x:v>
      </x:c>
      <x:c r="F105" t="str">
        <x:v>22/181</x:v>
      </x:c>
      <x:c r="G105" t="str">
        <x:v>Common</x:v>
      </x:c>
      <x:c r="H105" t="str">
        <x:v>Normal</x:v>
      </x:c>
      <x:c r="I105" s="23" t="str"/>
      <x:c r="J105" t="str">
        <x:v>OK</x:v>
      </x:c>
      <x:c r="K105" t="str">
        <x:v>verified</x:v>
      </x:c>
      <x:c r="L105" t="str">
        <x:v>masterlist</x:v>
      </x:c>
      <x:c r="M105"/>
      <x:c r="N105" t="str">
        <x:v>https://assets.tcgdex.net/en/sm/sm9/22/high.webp</x:v>
      </x:c>
      <x:c r="O105" t="str">
        <x:v>Non</x:v>
      </x:c>
      <x:c r="P105" s="23" t="str"/>
    </x:row>
    <x:row r="106">
      <x:c r="A106" t="str">
        <x:v>sm-teamup-rh-EN-2019-22</x:v>
      </x:c>
      <x:c r="B106" t="str">
        <x:v>EN</x:v>
      </x:c>
      <x:c r="C106" t="str">
        <x:v>US</x:v>
      </x:c>
      <x:c r="D106" s="23" t="str">
        <x:v>SM-Team Up</x:v>
      </x:c>
      <x:c r="E106" t="n">
        <x:v>2019</x:v>
      </x:c>
      <x:c r="F106" t="str">
        <x:v>22/181</x:v>
      </x:c>
      <x:c r="G106" t="str">
        <x:v>Common</x:v>
      </x:c>
      <x:c r="H106" t="str">
        <x:v>Reverse Holo</x:v>
      </x:c>
      <x:c r="I106" s="23" t="str"/>
      <x:c r="J106" t="str">
        <x:v>OK</x:v>
      </x:c>
      <x:c r="K106" t="str">
        <x:v>verified</x:v>
      </x:c>
      <x:c r="L106" t="str">
        <x:v>masterlist</x:v>
      </x:c>
      <x:c r="M106"/>
      <x:c r="N106" t="str">
        <x:v>https://assets.tcgdex.net/en/sm/sm9/22/high.webp</x:v>
      </x:c>
      <x:c r="O106" t="str">
        <x:v>Non</x:v>
      </x:c>
      <x:c r="P106" s="23" t="str"/>
    </x:row>
    <x:row r="107">
      <x:c r="A107" t="str">
        <x:v>sm-teamup-EN-2019-23</x:v>
      </x:c>
      <x:c r="B107" t="str">
        <x:v>EN</x:v>
      </x:c>
      <x:c r="C107" t="str">
        <x:v>US</x:v>
      </x:c>
      <x:c r="D107" s="23" t="str">
        <x:v>SM-Team Up</x:v>
      </x:c>
      <x:c r="E107" t="n">
        <x:v>2019</x:v>
      </x:c>
      <x:c r="F107" t="str">
        <x:v>23/181</x:v>
      </x:c>
      <x:c r="G107" t="str">
        <x:v>Common</x:v>
      </x:c>
      <x:c r="H107" t="str">
        <x:v>Normal</x:v>
      </x:c>
      <x:c r="I107" s="23" t="str"/>
      <x:c r="J107" t="str">
        <x:v>OK</x:v>
      </x:c>
      <x:c r="K107" t="str">
        <x:v>verified</x:v>
      </x:c>
      <x:c r="L107" t="str">
        <x:v>masterlist</x:v>
      </x:c>
      <x:c r="M107"/>
      <x:c r="N107" t="str">
        <x:v>https://assets.tcgdex.net/en/sm/sm9/23/high.webp</x:v>
      </x:c>
      <x:c r="O107" t="str">
        <x:v>Non</x:v>
      </x:c>
      <x:c r="P107" s="23" t="str"/>
    </x:row>
    <x:row r="108">
      <x:c r="A108" t="str">
        <x:v>sm-teamup-rh-EN-2019-23</x:v>
      </x:c>
      <x:c r="B108" t="str">
        <x:v>EN</x:v>
      </x:c>
      <x:c r="C108" t="str">
        <x:v>US</x:v>
      </x:c>
      <x:c r="D108" s="23" t="str">
        <x:v>SM-Team Up</x:v>
      </x:c>
      <x:c r="E108" t="n">
        <x:v>2019</x:v>
      </x:c>
      <x:c r="F108" t="str">
        <x:v>23/181</x:v>
      </x:c>
      <x:c r="G108" t="str">
        <x:v>Common</x:v>
      </x:c>
      <x:c r="H108" t="str">
        <x:v>Reverse Holo</x:v>
      </x:c>
      <x:c r="I108" s="23" t="str"/>
      <x:c r="J108" t="str">
        <x:v>OK</x:v>
      </x:c>
      <x:c r="K108" t="str">
        <x:v>verified</x:v>
      </x:c>
      <x:c r="L108" t="str">
        <x:v>masterlist</x:v>
      </x:c>
      <x:c r="M108"/>
      <x:c r="N108" t="str">
        <x:v>https://assets.tcgdex.net/en/sm/sm9/23/high.webp</x:v>
      </x:c>
      <x:c r="O108" t="str">
        <x:v>Non</x:v>
      </x:c>
      <x:c r="P108" s="23" t="str"/>
    </x:row>
    <x:row r="109">
      <x:c r="A109" t="str">
        <x:v>sm-ub-EN-2019-33</x:v>
      </x:c>
      <x:c r="B109" t="str">
        <x:v>EN</x:v>
      </x:c>
      <x:c r="C109" t="str">
        <x:v>US</x:v>
      </x:c>
      <x:c r="D109" s="23" t="str">
        <x:v>SM-Unbroken Bonds</x:v>
      </x:c>
      <x:c r="E109" t="n">
        <x:v>2019</x:v>
      </x:c>
      <x:c r="F109" t="str">
        <x:v>33/214</x:v>
      </x:c>
      <x:c r="G109" t="str">
        <x:v>Common</x:v>
      </x:c>
      <x:c r="H109" t="str">
        <x:v>Normal</x:v>
      </x:c>
      <x:c r="I109" s="23" t="str"/>
      <x:c r="J109" t="str">
        <x:v>OK</x:v>
      </x:c>
      <x:c r="K109" t="str">
        <x:v>verified</x:v>
      </x:c>
      <x:c r="L109" t="str">
        <x:v>masterlist</x:v>
      </x:c>
      <x:c r="M109"/>
      <x:c r="N109" t="str">
        <x:v>https://assets.tcgdex.net/en/sm/sm10/33/high.webp</x:v>
      </x:c>
      <x:c r="O109" t="str">
        <x:v>Non</x:v>
      </x:c>
      <x:c r="P109" s="23" t="str"/>
    </x:row>
    <x:row r="110">
      <x:c r="A110" t="str">
        <x:v>sm-ub-rh-EN-2019-33</x:v>
      </x:c>
      <x:c r="B110" t="str">
        <x:v>EN</x:v>
      </x:c>
      <x:c r="C110" t="str">
        <x:v>US</x:v>
      </x:c>
      <x:c r="D110" s="23" t="str">
        <x:v>SM-Unbroken Bonds</x:v>
      </x:c>
      <x:c r="E110" t="n">
        <x:v>2019</x:v>
      </x:c>
      <x:c r="F110" t="str">
        <x:v>33/214</x:v>
      </x:c>
      <x:c r="G110" t="str">
        <x:v>Common</x:v>
      </x:c>
      <x:c r="H110" t="str">
        <x:v>Reverse Holo</x:v>
      </x:c>
      <x:c r="I110" s="23" t="str"/>
      <x:c r="J110" t="str">
        <x:v>OK</x:v>
      </x:c>
      <x:c r="K110" t="str">
        <x:v>verified</x:v>
      </x:c>
      <x:c r="L110" t="str">
        <x:v>masterlist</x:v>
      </x:c>
      <x:c r="M110"/>
      <x:c r="N110" t="str">
        <x:v>https://assets.tcgdex.net/en/sm/sm10/33/high.webp</x:v>
      </x:c>
      <x:c r="O110" t="str">
        <x:v>Non</x:v>
      </x:c>
      <x:c r="P110" s="23" t="str"/>
    </x:row>
    <x:row r="111">
      <x:c r="A111" t="str">
        <x:v>mcd-25th-holo-EN-2021-17</x:v>
      </x:c>
      <x:c r="B111" t="str">
        <x:v>EN</x:v>
      </x:c>
      <x:c r="C111" t="str">
        <x:v>US</x:v>
      </x:c>
      <x:c r="D111" s="23" t="str">
        <x:v>McDonald's 25th Anniversary</x:v>
      </x:c>
      <x:c r="E111" t="n">
        <x:v>2021</x:v>
      </x:c>
      <x:c r="F111" t="str">
        <x:v>17/25</x:v>
      </x:c>
      <x:c r="G111" t="str">
        <x:v>Holo Rare</x:v>
      </x:c>
      <x:c r="H111" t="str">
        <x:v>Holo</x:v>
      </x:c>
      <x:c r="I111" s="23" t="str"/>
      <x:c r="J111" t="str">
        <x:v>OK</x:v>
      </x:c>
      <x:c r="K111" t="str">
        <x:v>verified</x:v>
      </x:c>
      <x:c r="L111" t="str">
        <x:v>masterlist</x:v>
      </x:c>
      <x:c r="M111"/>
      <x:c r="N111" t="str">
        <x:v>https://images.pokemontcg.io/mcd21/17_hires.png</x:v>
      </x:c>
      <x:c r="O111" t="str">
        <x:v>Non</x:v>
      </x:c>
      <x:c r="P111" s="23" t="str"/>
    </x:row>
    <x:row r="112">
      <x:c r="A112" t="str">
        <x:v>mcd-25th-EN-2021-17</x:v>
      </x:c>
      <x:c r="B112" t="str">
        <x:v>EN</x:v>
      </x:c>
      <x:c r="C112" t="str">
        <x:v>US</x:v>
      </x:c>
      <x:c r="D112" s="23" t="str">
        <x:v>McDonald's 25th Anniversary</x:v>
      </x:c>
      <x:c r="E112" t="n">
        <x:v>2021</x:v>
      </x:c>
      <x:c r="F112" t="str">
        <x:v>17/25</x:v>
      </x:c>
      <x:c r="G112" t="str">
        <x:v>Common</x:v>
      </x:c>
      <x:c r="H112" t="str">
        <x:v>Normal</x:v>
      </x:c>
      <x:c r="I112" s="23" t="str"/>
      <x:c r="J112" t="str">
        <x:v>OK</x:v>
      </x:c>
      <x:c r="K112" t="str">
        <x:v>verified</x:v>
      </x:c>
      <x:c r="L112" t="str">
        <x:v>masterlist</x:v>
      </x:c>
      <x:c r="M112"/>
      <x:c r="N112" t="str">
        <x:v>https://images.pokemontcg.io/mcd21/17_hires.png</x:v>
      </x:c>
      <x:c r="O112" t="str">
        <x:v>Non</x:v>
      </x:c>
      <x:c r="P112" s="23" t="str"/>
    </x:row>
    <x:row r="113">
      <x:c r="A113" t="str">
        <x:v>mfb-blue-EN-2022-</x:v>
      </x:c>
      <x:c r="B113" t="str">
        <x:v>EN</x:v>
      </x:c>
      <x:c r="C113" t="str">
        <x:v>US</x:v>
      </x:c>
      <x:c r="D113" s="23" t="str">
        <x:v>My First Battle</x:v>
      </x:c>
      <x:c r="E113" t="n">
        <x:v>2022</x:v>
      </x:c>
      <x:c r="F113" t="str"/>
      <x:c r="G113" t="str">
        <x:v>Common</x:v>
      </x:c>
      <x:c r="H113" t="str">
        <x:v>Blue Border</x:v>
      </x:c>
      <x:c r="I113" s="23" t="str"/>
      <x:c r="J113" t="str">
        <x:v>Cassée</x:v>
      </x:c>
      <x:c r="K113" t="str">
        <x:v>sourced</x:v>
      </x:c>
      <x:c r="L113" t="str">
        <x:v>masterlist</x:v>
      </x:c>
      <x:c r="M113"/>
      <x:c r="N113" t="str">
        <x:v>https://storage.googleapis.com/images.pricecharting.com/iabc6r7aqiodfiwy/1600.jpg</x:v>
      </x:c>
      <x:c r="O113" t="str">
        <x:v>Non</x:v>
      </x:c>
      <x:c r="P113" s="23" t="str">
        <x:v>Contrôle image en échec</x:v>
      </x:c>
    </x:row>
    <x:row r="114">
      <x:c r="A114" t="str">
        <x:v>mfb-EN-2022-</x:v>
      </x:c>
      <x:c r="B114" t="str">
        <x:v>EN</x:v>
      </x:c>
      <x:c r="C114" t="str">
        <x:v>US</x:v>
      </x:c>
      <x:c r="D114" s="23" t="str">
        <x:v>My First Battle</x:v>
      </x:c>
      <x:c r="E114" t="n">
        <x:v>2022</x:v>
      </x:c>
      <x:c r="F114" t="str"/>
      <x:c r="G114" t="str">
        <x:v>Common</x:v>
      </x:c>
      <x:c r="H114" t="str">
        <x:v>Normal</x:v>
      </x:c>
      <x:c r="I114" s="23" t="str"/>
      <x:c r="J114" t="str">
        <x:v>Cassée</x:v>
      </x:c>
      <x:c r="K114" t="str">
        <x:v>sourced</x:v>
      </x:c>
      <x:c r="L114" t="str">
        <x:v>masterlist</x:v>
      </x:c>
      <x:c r="M114"/>
      <x:c r="N114" t="str">
        <x:v>https://storage.googleapis.com/images.pricecharting.com/mi5mephopolstwke/1600.jpg</x:v>
      </x:c>
      <x:c r="O114" t="str">
        <x:v>Non</x:v>
      </x:c>
      <x:c r="P114" s="23" t="str">
        <x:v>Contrôle image en échec</x:v>
      </x:c>
    </x:row>
    <x:row r="115">
      <x:c r="A115" t="str">
        <x:v>pogo-EN-2022-15</x:v>
      </x:c>
      <x:c r="B115" t="str">
        <x:v>EN</x:v>
      </x:c>
      <x:c r="C115" t="str">
        <x:v>US</x:v>
      </x:c>
      <x:c r="D115" s="23" t="str">
        <x:v>Pokemon GO</x:v>
      </x:c>
      <x:c r="E115" t="n">
        <x:v>2022</x:v>
      </x:c>
      <x:c r="F115" t="str">
        <x:v>15/78</x:v>
      </x:c>
      <x:c r="G115" t="str">
        <x:v>Common</x:v>
      </x:c>
      <x:c r="H115" t="str">
        <x:v>Normal</x:v>
      </x:c>
      <x:c r="I115" s="23" t="str"/>
      <x:c r="J115" t="str">
        <x:v>OK</x:v>
      </x:c>
      <x:c r="K115" t="str">
        <x:v>verified</x:v>
      </x:c>
      <x:c r="L115" t="str">
        <x:v>masterlist</x:v>
      </x:c>
      <x:c r="M115"/>
      <x:c r="N115" t="str">
        <x:v>https://assets.tcgdex.net/en/swsh/swsh10.5/015/high.webp</x:v>
      </x:c>
      <x:c r="O115" t="str">
        <x:v>Non</x:v>
      </x:c>
      <x:c r="P115" s="23" t="str"/>
    </x:row>
    <x:row r="116">
      <x:c r="A116" t="str">
        <x:v>pogo-rh-EN-2022-15</x:v>
      </x:c>
      <x:c r="B116" t="str">
        <x:v>EN</x:v>
      </x:c>
      <x:c r="C116" t="str">
        <x:v>US</x:v>
      </x:c>
      <x:c r="D116" s="23" t="str">
        <x:v>Pokemon GO</x:v>
      </x:c>
      <x:c r="E116" t="n">
        <x:v>2022</x:v>
      </x:c>
      <x:c r="F116" t="str">
        <x:v>15/78</x:v>
      </x:c>
      <x:c r="G116" t="str">
        <x:v>Common</x:v>
      </x:c>
      <x:c r="H116" t="str">
        <x:v>Reverse Holo</x:v>
      </x:c>
      <x:c r="I116" s="23" t="str"/>
      <x:c r="J116" t="str">
        <x:v>OK</x:v>
      </x:c>
      <x:c r="K116" t="str">
        <x:v>verified</x:v>
      </x:c>
      <x:c r="L116" t="str">
        <x:v>masterlist</x:v>
      </x:c>
      <x:c r="M116"/>
      <x:c r="N116" t="str">
        <x:v>https://assets.tcgdex.net/en/swsh/swsh10.5/015/high.webp</x:v>
      </x:c>
      <x:c r="O116" t="str">
        <x:v>Non</x:v>
      </x:c>
      <x:c r="P116" s="23" t="str"/>
    </x:row>
    <x:row r="117">
      <x:c r="A117" t="str">
        <x:v>swsh-promo-EN-2022-233</x:v>
      </x:c>
      <x:c r="B117" t="str">
        <x:v>EN</x:v>
      </x:c>
      <x:c r="C117" t="str">
        <x:v>US</x:v>
      </x:c>
      <x:c r="D117" s="23" t="str">
        <x:v>SWSH Black Star Promos</x:v>
      </x:c>
      <x:c r="E117" t="n">
        <x:v>2022</x:v>
      </x:c>
      <x:c r="F117" t="str">
        <x:v>SWSH233</x:v>
      </x:c>
      <x:c r="G117" t="str">
        <x:v>Holo Rare</x:v>
      </x:c>
      <x:c r="H117" t="str">
        <x:v>Holo</x:v>
      </x:c>
      <x:c r="I117" s="23" t="str"/>
      <x:c r="J117" t="str">
        <x:v>OK</x:v>
      </x:c>
      <x:c r="K117" t="str">
        <x:v>verified</x:v>
      </x:c>
      <x:c r="L117" t="str">
        <x:v>masterlist</x:v>
      </x:c>
      <x:c r="M117"/>
      <x:c r="N117" t="str">
        <x:v>https://assets.tcgdex.net/en/swsh/swshp/SWSH233/high.webp</x:v>
      </x:c>
      <x:c r="O117" t="str">
        <x:v>Non</x:v>
      </x:c>
      <x:c r="P117" s="23" t="str"/>
    </x:row>
    <x:row r="118">
      <x:c r="A118" t="str">
        <x:v>cz-galarian-EN-2023-GG53</x:v>
      </x:c>
      <x:c r="B118" t="str">
        <x:v>EN</x:v>
      </x:c>
      <x:c r="C118" t="str">
        <x:v>US</x:v>
      </x:c>
      <x:c r="D118" s="23" t="str">
        <x:v>Crown Zenith: Galarian Gallery</x:v>
      </x:c>
      <x:c r="E118" t="n">
        <x:v>2023</x:v>
      </x:c>
      <x:c r="F118" t="str">
        <x:v>GG53/GG70</x:v>
      </x:c>
      <x:c r="G118" t="str">
        <x:v>Holo Rare</x:v>
      </x:c>
      <x:c r="H118" t="str">
        <x:v>Holo</x:v>
      </x:c>
      <x:c r="I118" s="23" t="str">
        <x:v>Hoopa V - Squirtle cameo</x:v>
      </x:c>
      <x:c r="J118" t="str">
        <x:v>OK</x:v>
      </x:c>
      <x:c r="K118" t="str">
        <x:v>verified</x:v>
      </x:c>
      <x:c r="L118" t="str">
        <x:v>masterlist</x:v>
      </x:c>
      <x:c r="M118"/>
      <x:c r="N118" t="str">
        <x:v>https://assets.tcgdex.net/en/swsh/swsh12.5/GG53/high.webp</x:v>
      </x:c>
      <x:c r="O118" t="str">
        <x:v>Non</x:v>
      </x:c>
      <x:c r="P118" s="23" t="str"/>
    </x:row>
    <x:row r="119">
      <x:c r="A119" t="str">
        <x:v>sv151-ar-EN-2023-170</x:v>
      </x:c>
      <x:c r="B119" t="str">
        <x:v>EN</x:v>
      </x:c>
      <x:c r="C119" t="str">
        <x:v>US</x:v>
      </x:c>
      <x:c r="D119" s="23" t="str">
        <x:v>SV-151</x:v>
      </x:c>
      <x:c r="E119" t="n">
        <x:v>2023</x:v>
      </x:c>
      <x:c r="F119" t="str">
        <x:v>170/165</x:v>
      </x:c>
      <x:c r="G119" t="str">
        <x:v>Art Rare</x:v>
      </x:c>
      <x:c r="H119" t="str">
        <x:v>Holo</x:v>
      </x:c>
      <x:c r="I119" s="23" t="str"/>
      <x:c r="J119" t="str">
        <x:v>OK</x:v>
      </x:c>
      <x:c r="K119" t="str">
        <x:v>verified</x:v>
      </x:c>
      <x:c r="L119" t="str">
        <x:v>masterlist</x:v>
      </x:c>
      <x:c r="M119"/>
      <x:c r="N119" t="str">
        <x:v>https://assets.tcgdex.net/en/sv/sv03.5/170/high.webp</x:v>
      </x:c>
      <x:c r="O119" t="str">
        <x:v>Non</x:v>
      </x:c>
      <x:c r="P119" s="23" t="str"/>
    </x:row>
    <x:row r="120">
      <x:c r="A120" t="str">
        <x:v>sv151-cosmos-EN-2023-7</x:v>
      </x:c>
      <x:c r="B120" t="str">
        <x:v>EN</x:v>
      </x:c>
      <x:c r="C120" t="str">
        <x:v>US</x:v>
      </x:c>
      <x:c r="D120" s="23" t="str">
        <x:v>SV-151</x:v>
      </x:c>
      <x:c r="E120" t="n">
        <x:v>2023</x:v>
      </x:c>
      <x:c r="F120" t="str">
        <x:v>7/165</x:v>
      </x:c>
      <x:c r="G120" t="str">
        <x:v>Holo Rare</x:v>
      </x:c>
      <x:c r="H120" t="str">
        <x:v>Cosmos Holo</x:v>
      </x:c>
      <x:c r="I120" s="23" t="str">
        <x:v>Costco Exclusive</x:v>
      </x:c>
      <x:c r="J120" t="str">
        <x:v>OK</x:v>
      </x:c>
      <x:c r="K120" t="str">
        <x:v>verified</x:v>
      </x:c>
      <x:c r="L120" t="str">
        <x:v>masterlist</x:v>
      </x:c>
      <x:c r="M120"/>
      <x:c r="N120" t="str">
        <x:v>https://assets.tcgdex.net/en/sv/sv03.5/007/high.webp</x:v>
      </x:c>
      <x:c r="O120" t="str">
        <x:v>Non</x:v>
      </x:c>
      <x:c r="P120" s="23" t="str"/>
    </x:row>
    <x:row r="121">
      <x:c r="A121" t="str">
        <x:v>sv151-EN-2023-7</x:v>
      </x:c>
      <x:c r="B121" t="str">
        <x:v>EN</x:v>
      </x:c>
      <x:c r="C121" t="str">
        <x:v>US</x:v>
      </x:c>
      <x:c r="D121" s="23" t="str">
        <x:v>SV-151</x:v>
      </x:c>
      <x:c r="E121" t="n">
        <x:v>2023</x:v>
      </x:c>
      <x:c r="F121" t="str">
        <x:v>7/165</x:v>
      </x:c>
      <x:c r="G121" t="str">
        <x:v>Common</x:v>
      </x:c>
      <x:c r="H121" t="str">
        <x:v>Normal</x:v>
      </x:c>
      <x:c r="I121" s="23" t="str"/>
      <x:c r="J121" t="str">
        <x:v>OK</x:v>
      </x:c>
      <x:c r="K121" t="str">
        <x:v>verified</x:v>
      </x:c>
      <x:c r="L121" t="str">
        <x:v>masterlist</x:v>
      </x:c>
      <x:c r="M121"/>
      <x:c r="N121" t="str">
        <x:v>https://assets.tcgdex.net/en/sv/sv03.5/007/high.webp</x:v>
      </x:c>
      <x:c r="O121" t="str">
        <x:v>Non</x:v>
      </x:c>
      <x:c r="P121" s="23" t="str"/>
    </x:row>
    <x:row r="122">
      <x:c r="A122" t="str">
        <x:v>sv151-rh-EN-2023-7</x:v>
      </x:c>
      <x:c r="B122" t="str">
        <x:v>EN</x:v>
      </x:c>
      <x:c r="C122" t="str">
        <x:v>US</x:v>
      </x:c>
      <x:c r="D122" s="23" t="str">
        <x:v>SV-151</x:v>
      </x:c>
      <x:c r="E122" t="n">
        <x:v>2023</x:v>
      </x:c>
      <x:c r="F122" t="str">
        <x:v>7/165</x:v>
      </x:c>
      <x:c r="G122" t="str">
        <x:v>Common</x:v>
      </x:c>
      <x:c r="H122" t="str">
        <x:v>Reverse Holo</x:v>
      </x:c>
      <x:c r="I122" s="23" t="str"/>
      <x:c r="J122" t="str">
        <x:v>OK</x:v>
      </x:c>
      <x:c r="K122" t="str">
        <x:v>verified</x:v>
      </x:c>
      <x:c r="L122" t="str">
        <x:v>masterlist</x:v>
      </x:c>
      <x:c r="M122"/>
      <x:c r="N122" t="str">
        <x:v>https://assets.tcgdex.net/en/sv/sv03.5/007/high.webp</x:v>
      </x:c>
      <x:c r="O122" t="str">
        <x:v>Non</x:v>
      </x:c>
      <x:c r="P122" s="23" t="str"/>
    </x:row>
    <x:row r="123">
      <x:c r="A123" t="str">
        <x:v>svp-cosmos-EN-2023-48</x:v>
      </x:c>
      <x:c r="B123" t="str">
        <x:v>EN</x:v>
      </x:c>
      <x:c r="C123" t="str">
        <x:v>US</x:v>
      </x:c>
      <x:c r="D123" s="23" t="str">
        <x:v>SVP Black Star Promos</x:v>
      </x:c>
      <x:c r="E123" t="n">
        <x:v>2023</x:v>
      </x:c>
      <x:c r="F123" t="str">
        <x:v>48</x:v>
      </x:c>
      <x:c r="G123" t="str">
        <x:v>Holo Rare</x:v>
      </x:c>
      <x:c r="H123" t="str">
        <x:v>Cosmos Holo</x:v>
      </x:c>
      <x:c r="I123" s="23" t="str"/>
      <x:c r="J123" t="str">
        <x:v>OK</x:v>
      </x:c>
      <x:c r="K123" t="str">
        <x:v>verified</x:v>
      </x:c>
      <x:c r="L123" t="str">
        <x:v>masterlist</x:v>
      </x:c>
      <x:c r="M123"/>
      <x:c r="N123" t="str">
        <x:v>https://assets.tcgdex.net/en/sv/svp/048/high.webp</x:v>
      </x:c>
      <x:c r="O123" t="str">
        <x:v>Non</x:v>
      </x:c>
      <x:c r="P123" s="23" t="str"/>
    </x:row>
    <x:row r="124">
      <x:c r="A124" t="str">
        <x:v>svp-pkmncenter-EN-2023-7</x:v>
      </x:c>
      <x:c r="B124" t="str">
        <x:v>EN</x:v>
      </x:c>
      <x:c r="C124" t="str">
        <x:v>US</x:v>
      </x:c>
      <x:c r="D124" s="23" t="str">
        <x:v>SVP Black Star Promos</x:v>
      </x:c>
      <x:c r="E124" t="n">
        <x:v>2023</x:v>
      </x:c>
      <x:c r="F124" t="str">
        <x:v>7/165</x:v>
      </x:c>
      <x:c r="G124" t="str">
        <x:v>Holo Rare</x:v>
      </x:c>
      <x:c r="H124" t="str">
        <x:v>Reverse Holo</x:v>
      </x:c>
      <x:c r="I124" s="23" t="str">
        <x:v>Pokemon Center Exclusive</x:v>
      </x:c>
      <x:c r="J124" t="str">
        <x:v>OK</x:v>
      </x:c>
      <x:c r="K124" t="str">
        <x:v>verified</x:v>
      </x:c>
      <x:c r="L124" t="str">
        <x:v>masterlist</x:v>
      </x:c>
      <x:c r="M124"/>
      <x:c r="N124" t="str">
        <x:v>https://assets.tcgdex.net/en/sv/svp/007/high.webp</x:v>
      </x:c>
      <x:c r="O124" t="str">
        <x:v>Non</x:v>
      </x:c>
      <x:c r="P124" s="23" t="str"/>
    </x:row>
    <x:row r="125">
      <x:c r="A125" t="str">
        <x:v>tcg-classic-EN-2023-1</x:v>
      </x:c>
      <x:c r="B125" t="str">
        <x:v>EN</x:v>
      </x:c>
      <x:c r="C125" t="str">
        <x:v>US</x:v>
      </x:c>
      <x:c r="D125" s="23" t="str">
        <x:v>Trading Card Game Classic</x:v>
      </x:c>
      <x:c r="E125" t="n">
        <x:v>2023</x:v>
      </x:c>
      <x:c r="F125" t="str">
        <x:v>1/34</x:v>
      </x:c>
      <x:c r="G125" t="str">
        <x:v>Holo Rare</x:v>
      </x:c>
      <x:c r="H125" t="str">
        <x:v>Holo</x:v>
      </x:c>
      <x:c r="I125" s="23" t="str"/>
      <x:c r="J125" t="str">
        <x:v>Cassée</x:v>
      </x:c>
      <x:c r="K125" t="str">
        <x:v>sourced</x:v>
      </x:c>
      <x:c r="L125" t="str">
        <x:v>masterlist</x:v>
      </x:c>
      <x:c r="M125"/>
      <x:c r="N125" t="str">
        <x:v>https://www.cardshunter.fr/wp-content/smush-webp/2023/11/1-3.jpg.webp</x:v>
      </x:c>
      <x:c r="O125" t="str">
        <x:v>Non</x:v>
      </x:c>
      <x:c r="P125" s="23" t="str">
        <x:v>Contrôle image en échec</x:v>
      </x:c>
    </x:row>
    <x:row r="126">
      <x:c r="A126" t="str">
        <x:v>mep-promo-EN-2024-39</x:v>
      </x:c>
      <x:c r="B126" t="str">
        <x:v>EN</x:v>
      </x:c>
      <x:c r="C126" t="str">
        <x:v>US</x:v>
      </x:c>
      <x:c r="D126" s="23" t="str">
        <x:v>MEP Black Star Promos</x:v>
      </x:c>
      <x:c r="E126" t="n">
        <x:v>2024</x:v>
      </x:c>
      <x:c r="F126" t="str">
        <x:v>039</x:v>
      </x:c>
      <x:c r="G126" t="str">
        <x:v>Holo Rare</x:v>
      </x:c>
      <x:c r="H126" t="str">
        <x:v>Holo</x:v>
      </x:c>
      <x:c r="I126" s="23" t="str"/>
      <x:c r="J126" t="str">
        <x:v>Cassée</x:v>
      </x:c>
      <x:c r="K126" t="str">
        <x:v>sourced</x:v>
      </x:c>
      <x:c r="L126" t="str">
        <x:v>masterlist</x:v>
      </x:c>
      <x:c r="M126"/>
      <x:c r="N126" t="str">
        <x:v>https://pokecardex-scans.b-cdn.net/sets/MEP/US/39.jpg?class=hd</x:v>
      </x:c>
      <x:c r="O126" t="str">
        <x:v>Non</x:v>
      </x:c>
      <x:c r="P126" s="23" t="str">
        <x:v>Contrôle image en échec</x:v>
      </x:c>
    </x:row>
    <x:row r="127">
      <x:c r="A127" t="str">
        <x:v>sv7-stellar-EN-2024-148</x:v>
      </x:c>
      <x:c r="B127" t="str">
        <x:v>EN</x:v>
      </x:c>
      <x:c r="C127" t="str">
        <x:v>US</x:v>
      </x:c>
      <x:c r="D127" s="23" t="str">
        <x:v>SV07-Stellar Crown</x:v>
      </x:c>
      <x:c r="E127" t="n">
        <x:v>2024</x:v>
      </x:c>
      <x:c r="F127" t="str">
        <x:v>148/142</x:v>
      </x:c>
      <x:c r="G127" t="str">
        <x:v>Special Illustration Rare</x:v>
      </x:c>
      <x:c r="H127" t="str">
        <x:v>Holo</x:v>
      </x:c>
      <x:c r="I127" s="23" t="str"/>
      <x:c r="J127" t="str">
        <x:v>OK</x:v>
      </x:c>
      <x:c r="K127" t="str">
        <x:v>verified</x:v>
      </x:c>
      <x:c r="L127" t="str">
        <x:v>masterlist</x:v>
      </x:c>
      <x:c r="M127"/>
      <x:c r="N127" t="str">
        <x:v>https://assets.tcgdex.net/en/sv/sv07/148/high.webp</x:v>
      </x:c>
      <x:c r="O127" t="str">
        <x:v>Non</x:v>
      </x:c>
      <x:c r="P127" s="23" t="str"/>
    </x:row>
    <x:row r="128">
      <x:c r="A128" t="str">
        <x:v>base-JP-1996-</x:v>
      </x:c>
      <x:c r="B128" t="str">
        <x:v>JP</x:v>
      </x:c>
      <x:c r="C128" t="str">
        <x:v>JP</x:v>
      </x:c>
      <x:c r="D128" s="23" t="str">
        <x:v>Expansion Pack</x:v>
      </x:c>
      <x:c r="E128" t="n">
        <x:v>1996</x:v>
      </x:c>
      <x:c r="F128" t="str">
        <x:v>007</x:v>
      </x:c>
      <x:c r="G128" t="str">
        <x:v>Common</x:v>
      </x:c>
      <x:c r="H128" t="str">
        <x:v>Normal</x:v>
      </x:c>
      <x:c r="I128" s="23" t="str">
        <x:v>JP Base Set</x:v>
      </x:c>
      <x:c r="J128" t="str">
        <x:v>Cassée</x:v>
      </x:c>
      <x:c r="K128" t="str">
        <x:v>sourced</x:v>
      </x:c>
      <x:c r="L128" t="str">
        <x:v>masterlist</x:v>
      </x:c>
      <x:c r="M128"/>
      <x:c r="N128" t="str">
        <x:v>https://storage.googleapis.com/images.pricecharting.com/29e150ef8b08171ccc3c1fa7a73c2f92e018622dafac859eac642b211599be95/1600.jpg</x:v>
      </x:c>
      <x:c r="O128" t="str">
        <x:v>Non</x:v>
      </x:c>
      <x:c r="P128" s="23" t="str">
        <x:v>Contrôle image en échec</x:v>
      </x:c>
    </x:row>
    <x:row r="129">
      <x:c r="A129" t="str">
        <x:v>exp-sheet1-JP-1996-</x:v>
      </x:c>
      <x:c r="B129" t="str">
        <x:v>JP</x:v>
      </x:c>
      <x:c r="C129" t="str">
        <x:v>JP</x:v>
      </x:c>
      <x:c r="D129" s="23" t="str">
        <x:v>Expansion Sheet 1</x:v>
      </x:c>
      <x:c r="E129" t="n">
        <x:v>1996</x:v>
      </x:c>
      <x:c r="F129" t="str"/>
      <x:c r="G129" t="str">
        <x:v>Uncommon</x:v>
      </x:c>
      <x:c r="H129" t="str">
        <x:v>Normal</x:v>
      </x:c>
      <x:c r="I129" s="23" t="str"/>
      <x:c r="J129" t="str">
        <x:v>Cassée</x:v>
      </x:c>
      <x:c r="K129" t="str">
        <x:v>sourced</x:v>
      </x:c>
      <x:c r="L129" t="str">
        <x:v>masterlist</x:v>
      </x:c>
      <x:c r="M129"/>
      <x:c r="N129" t="str">
        <x:v>https://storage.googleapis.com/images.pricecharting.com/542d2c2924095dca21c4cd5860cfd2f0c03da8656dd5095fd0976fe5a8f44ddc/1600.jpg</x:v>
      </x:c>
      <x:c r="O129" t="str">
        <x:v>Non</x:v>
      </x:c>
      <x:c r="P129" s="23" t="str">
        <x:v>Contrôle image en échec</x:v>
      </x:c>
    </x:row>
    <x:row r="130">
      <x:c r="A130" t="str">
        <x:v>base-promo-JP-1996-</x:v>
      </x:c>
      <x:c r="B130" t="str">
        <x:v>JP</x:v>
      </x:c>
      <x:c r="C130" t="str">
        <x:v>JP</x:v>
      </x:c>
      <x:c r="D130" s="23" t="str">
        <x:v>Unnumbered Promos JP</x:v>
      </x:c>
      <x:c r="E130" t="n">
        <x:v>1996</x:v>
      </x:c>
      <x:c r="F130" t="str"/>
      <x:c r="G130" t="str">
        <x:v>Promo</x:v>
      </x:c>
      <x:c r="H130" t="str">
        <x:v>Normal</x:v>
      </x:c>
      <x:c r="I130" s="23" t="str"/>
      <x:c r="J130" t="str">
        <x:v>Absente</x:v>
      </x:c>
      <x:c r="K130" t="str">
        <x:v>sourced</x:v>
      </x:c>
      <x:c r="L130" t="str">
        <x:v>masterlist</x:v>
      </x:c>
      <x:c r="M130"/>
      <x:c r="N130"/>
      <x:c r="O130" t="str">
        <x:v>Non</x:v>
      </x:c>
      <x:c r="P130" s="23" t="str">
        <x:v>Contrôle image en échec</x:v>
      </x:c>
    </x:row>
    <x:row r="131">
      <x:c r="A131" t="str">
        <x:v>red-deck-JP-1997-</x:v>
      </x:c>
      <x:c r="B131" t="str">
        <x:v>JP</x:v>
      </x:c>
      <x:c r="C131" t="str">
        <x:v>JP</x:v>
      </x:c>
      <x:c r="D131" s="23" t="str">
        <x:v>Red Deck</x:v>
      </x:c>
      <x:c r="E131" t="n">
        <x:v>1997</x:v>
      </x:c>
      <x:c r="F131" t="str"/>
      <x:c r="G131" t="str">
        <x:v>Common</x:v>
      </x:c>
      <x:c r="H131" t="str">
        <x:v>Normal</x:v>
      </x:c>
      <x:c r="I131" s="23" t="str"/>
      <x:c r="J131" t="str">
        <x:v>Absente</x:v>
      </x:c>
      <x:c r="K131" t="str">
        <x:v>sourced</x:v>
      </x:c>
      <x:c r="L131" t="str">
        <x:v>masterlist</x:v>
      </x:c>
      <x:c r="M131"/>
      <x:c r="N131"/>
      <x:c r="O131" t="str">
        <x:v>Non</x:v>
      </x:c>
      <x:c r="P131" s="23" t="str">
        <x:v>Contrôle image en échec</x:v>
      </x:c>
    </x:row>
    <x:row r="132">
      <x:c r="A132" t="str">
        <x:v>squirtle-deck-JP-1997-16</x:v>
      </x:c>
      <x:c r="B132" t="str">
        <x:v>JP</x:v>
      </x:c>
      <x:c r="C132" t="str">
        <x:v>JP</x:v>
      </x:c>
      <x:c r="D132" s="23" t="str">
        <x:v>Squirtle Deck</x:v>
      </x:c>
      <x:c r="E132" t="n">
        <x:v>1997</x:v>
      </x:c>
      <x:c r="F132" t="str">
        <x:v>16</x:v>
      </x:c>
      <x:c r="G132" t="str">
        <x:v>Common</x:v>
      </x:c>
      <x:c r="H132" t="str">
        <x:v>Normal</x:v>
      </x:c>
      <x:c r="I132" s="23" t="str"/>
      <x:c r="J132" t="str">
        <x:v>Cassée</x:v>
      </x:c>
      <x:c r="K132" t="str">
        <x:v>sourced</x:v>
      </x:c>
      <x:c r="L132" t="str">
        <x:v>masterlist</x:v>
      </x:c>
      <x:c r="M132"/>
      <x:c r="N132" t="str">
        <x:v>https://pokecardex-scans.b-cdn.net/sets_jp/IPS/16.jpg?class=hd</x:v>
      </x:c>
      <x:c r="O132" t="str">
        <x:v>Non</x:v>
      </x:c>
      <x:c r="P132" s="23" t="str">
        <x:v>Contrôle image en échec</x:v>
      </x:c>
    </x:row>
    <x:row r="133">
      <x:c r="A133" t="str">
        <x:v>squirtle-deck-JP-1997-18</x:v>
      </x:c>
      <x:c r="B133" t="str">
        <x:v>JP</x:v>
      </x:c>
      <x:c r="C133" t="str">
        <x:v>JP</x:v>
      </x:c>
      <x:c r="D133" s="23" t="str">
        <x:v>Squirtle Deck</x:v>
      </x:c>
      <x:c r="E133" t="n">
        <x:v>1997</x:v>
      </x:c>
      <x:c r="F133" t="str">
        <x:v>18</x:v>
      </x:c>
      <x:c r="G133" t="str">
        <x:v>Common</x:v>
      </x:c>
      <x:c r="H133" t="str">
        <x:v>Normal</x:v>
      </x:c>
      <x:c r="I133" s="23" t="str"/>
      <x:c r="J133" t="str">
        <x:v>Cassée</x:v>
      </x:c>
      <x:c r="K133" t="str">
        <x:v>sourced</x:v>
      </x:c>
      <x:c r="L133" t="str">
        <x:v>masterlist</x:v>
      </x:c>
      <x:c r="M133"/>
      <x:c r="N133" t="str">
        <x:v>https://pokecardex-scans.b-cdn.net/sets_jp/IPS/18.jpg?class=hd</x:v>
      </x:c>
      <x:c r="O133" t="str">
        <x:v>Non</x:v>
      </x:c>
      <x:c r="P133" s="23" t="str">
        <x:v>Contrôle image en échec</x:v>
      </x:c>
    </x:row>
    <x:row r="134">
      <x:c r="A134" t="str">
        <x:v>squirtle-deck-JP-1997-37</x:v>
      </x:c>
      <x:c r="B134" t="str">
        <x:v>JP</x:v>
      </x:c>
      <x:c r="C134" t="str">
        <x:v>JP</x:v>
      </x:c>
      <x:c r="D134" s="23" t="str">
        <x:v>Squirtle Deck</x:v>
      </x:c>
      <x:c r="E134" t="n">
        <x:v>1997</x:v>
      </x:c>
      <x:c r="F134" t="str">
        <x:v>37</x:v>
      </x:c>
      <x:c r="G134" t="str">
        <x:v>Common</x:v>
      </x:c>
      <x:c r="H134" t="str">
        <x:v>Normal</x:v>
      </x:c>
      <x:c r="I134" s="23" t="str"/>
      <x:c r="J134" t="str">
        <x:v>Cassée</x:v>
      </x:c>
      <x:c r="K134" t="str">
        <x:v>sourced</x:v>
      </x:c>
      <x:c r="L134" t="str">
        <x:v>masterlist</x:v>
      </x:c>
      <x:c r="M134"/>
      <x:c r="N134" t="str">
        <x:v>https://pokecardex-scans.b-cdn.net/sets_jp/IPS/37.jpg?class=hd</x:v>
      </x:c>
      <x:c r="O134" t="str">
        <x:v>Non</x:v>
      </x:c>
      <x:c r="P134" s="23" t="str">
        <x:v>Contrôle image en échec</x:v>
      </x:c>
    </x:row>
    <x:row r="135">
      <x:c r="A135" t="str">
        <x:v>squirtle-deck-JP-1997-40</x:v>
      </x:c>
      <x:c r="B135" t="str">
        <x:v>JP</x:v>
      </x:c>
      <x:c r="C135" t="str">
        <x:v>JP</x:v>
      </x:c>
      <x:c r="D135" s="23" t="str">
        <x:v>Squirtle Deck</x:v>
      </x:c>
      <x:c r="E135" t="n">
        <x:v>1997</x:v>
      </x:c>
      <x:c r="F135" t="str">
        <x:v>40</x:v>
      </x:c>
      <x:c r="G135" t="str">
        <x:v>Common</x:v>
      </x:c>
      <x:c r="H135" t="str">
        <x:v>Normal</x:v>
      </x:c>
      <x:c r="I135" s="23" t="str"/>
      <x:c r="J135" t="str">
        <x:v>Cassée</x:v>
      </x:c>
      <x:c r="K135" t="str">
        <x:v>sourced</x:v>
      </x:c>
      <x:c r="L135" t="str">
        <x:v>masterlist</x:v>
      </x:c>
      <x:c r="M135"/>
      <x:c r="N135" t="str">
        <x:v>https://pokecardex-scans.b-cdn.net/sets_jp/IPS/40.jpg?class=hd</x:v>
      </x:c>
      <x:c r="O135" t="str">
        <x:v>Non</x:v>
      </x:c>
      <x:c r="P135" s="23" t="str">
        <x:v>Contrôle image en échec</x:v>
      </x:c>
    </x:row>
    <x:row r="136">
      <x:c r="A136" t="str">
        <x:v>rocket-gang-JP-2000-</x:v>
      </x:c>
      <x:c r="B136" t="str">
        <x:v>JP</x:v>
      </x:c>
      <x:c r="C136" t="str">
        <x:v>JP</x:v>
      </x:c>
      <x:c r="D136" s="23" t="str">
        <x:v>Rocket Gang</x:v>
      </x:c>
      <x:c r="E136" t="n">
        <x:v>2000</x:v>
      </x:c>
      <x:c r="F136" t="str">
        <x:v>007</x:v>
      </x:c>
      <x:c r="G136" t="str">
        <x:v>Common</x:v>
      </x:c>
      <x:c r="H136" t="str">
        <x:v>Normal</x:v>
      </x:c>
      <x:c r="I136" s="23" t="str">
        <x:v>JP Team Rocket</x:v>
      </x:c>
      <x:c r="J136" t="str">
        <x:v>Cassée</x:v>
      </x:c>
      <x:c r="K136" t="str">
        <x:v>sourced</x:v>
      </x:c>
      <x:c r="L136" t="str">
        <x:v>masterlist</x:v>
      </x:c>
      <x:c r="M136"/>
      <x:c r="N136" t="str">
        <x:v>https://storage.googleapis.com/images.pricecharting.com/ca474f6eb65ffaed5055a8868aa8581fb8543b55cfba2395a7dcb6d3bc9564a7/1600.jpg</x:v>
      </x:c>
      <x:c r="O136" t="str">
        <x:v>Non</x:v>
      </x:c>
      <x:c r="P136" s="23" t="str">
        <x:v>Contrôle image en échec</x:v>
      </x:c>
    </x:row>
    <x:row r="137">
      <x:c r="A137" t="str">
        <x:v>mcd-pkmne-JP-2002-7</x:v>
      </x:c>
      <x:c r="B137" t="str">
        <x:v>JP</x:v>
      </x:c>
      <x:c r="C137" t="str">
        <x:v>JP</x:v>
      </x:c>
      <x:c r="D137" s="23" t="str">
        <x:v>McDonald's Pokemon-e Minimum Pack</x:v>
      </x:c>
      <x:c r="E137" t="n">
        <x:v>2002</x:v>
      </x:c>
      <x:c r="F137" t="str">
        <x:v>7/18</x:v>
      </x:c>
      <x:c r="G137" t="str">
        <x:v>Common</x:v>
      </x:c>
      <x:c r="H137" t="str">
        <x:v>Normal</x:v>
      </x:c>
      <x:c r="I137" s="23" t="str"/>
      <x:c r="J137" t="str">
        <x:v>Cassée</x:v>
      </x:c>
      <x:c r="K137" t="str">
        <x:v>sourced</x:v>
      </x:c>
      <x:c r="L137" t="str">
        <x:v>masterlist</x:v>
      </x:c>
      <x:c r="M137"/>
      <x:c r="N137" t="str">
        <x:v>https://pokecardex-scans.b-cdn.net/sets_jp/MCMP/7.jpg?class=hd</x:v>
      </x:c>
      <x:c r="O137" t="str">
        <x:v>Non</x:v>
      </x:c>
      <x:c r="P137" s="23" t="str">
        <x:v>Contrôle image en échec</x:v>
      </x:c>
    </x:row>
    <x:row r="138">
      <x:c r="A138" t="str">
        <x:v>pkmne-starter-JP-2002-17</x:v>
      </x:c>
      <x:c r="B138" t="str">
        <x:v>JP</x:v>
      </x:c>
      <x:c r="C138" t="str">
        <x:v>JP</x:v>
      </x:c>
      <x:c r="D138" s="23" t="str">
        <x:v>Pokemon-e Starter Deck</x:v>
      </x:c>
      <x:c r="E138" t="n">
        <x:v>2002</x:v>
      </x:c>
      <x:c r="F138" t="str">
        <x:v>17/29</x:v>
      </x:c>
      <x:c r="G138" t="str">
        <x:v>Common</x:v>
      </x:c>
      <x:c r="H138" t="str">
        <x:v>Normal</x:v>
      </x:c>
      <x:c r="I138" s="23" t="str"/>
      <x:c r="J138" t="str">
        <x:v>Cassée</x:v>
      </x:c>
      <x:c r="K138" t="str">
        <x:v>sourced</x:v>
      </x:c>
      <x:c r="L138" t="str">
        <x:v>masterlist</x:v>
      </x:c>
      <x:c r="M138"/>
      <x:c r="N138" t="str">
        <x:v>https://pokecardex-scans.b-cdn.net/sets_jp/PESD/17.jpg?class=hd</x:v>
      </x:c>
      <x:c r="O138" t="str">
        <x:v>Non</x:v>
      </x:c>
      <x:c r="P138" s="23" t="str">
        <x:v>Contrôle image en échec</x:v>
      </x:c>
    </x:row>
    <x:row r="139">
      <x:c r="A139" t="str">
        <x:v>pkmne-starter-JP-2002-18</x:v>
      </x:c>
      <x:c r="B139" t="str">
        <x:v>JP</x:v>
      </x:c>
      <x:c r="C139" t="str">
        <x:v>JP</x:v>
      </x:c>
      <x:c r="D139" s="23" t="str">
        <x:v>Pokemon-e Starter Deck</x:v>
      </x:c>
      <x:c r="E139" t="n">
        <x:v>2002</x:v>
      </x:c>
      <x:c r="F139" t="str">
        <x:v>18/29</x:v>
      </x:c>
      <x:c r="G139" t="str">
        <x:v>Common</x:v>
      </x:c>
      <x:c r="H139" t="str">
        <x:v>Normal</x:v>
      </x:c>
      <x:c r="I139" s="23" t="str"/>
      <x:c r="J139" t="str">
        <x:v>Cassée</x:v>
      </x:c>
      <x:c r="K139" t="str">
        <x:v>sourced</x:v>
      </x:c>
      <x:c r="L139" t="str">
        <x:v>masterlist</x:v>
      </x:c>
      <x:c r="M139"/>
      <x:c r="N139" t="str">
        <x:v>https://pokecardex-scans.b-cdn.net/sets_jp/PESD/18.jpg?class=hd</x:v>
      </x:c>
      <x:c r="O139" t="str">
        <x:v>Non</x:v>
      </x:c>
      <x:c r="P139" s="23" t="str">
        <x:v>Contrôle image en échec</x:v>
      </x:c>
    </x:row>
    <x:row r="140">
      <x:c r="A140" t="str">
        <x:v>advp-55-JP-2004-55</x:v>
      </x:c>
      <x:c r="B140" t="str">
        <x:v>JP</x:v>
      </x:c>
      <x:c r="C140" t="str">
        <x:v>JP</x:v>
      </x:c>
      <x:c r="D140" s="23" t="str">
        <x:v>ADV-P Promotional cards</x:v>
      </x:c>
      <x:c r="E140" t="n">
        <x:v>2004</x:v>
      </x:c>
      <x:c r="F140" t="str">
        <x:v>55/ADV-P</x:v>
      </x:c>
      <x:c r="G140" t="str">
        <x:v>Promo</x:v>
      </x:c>
      <x:c r="H140" t="str">
        <x:v>Normal</x:v>
      </x:c>
      <x:c r="I140" s="23" t="str"/>
      <x:c r="J140" t="str">
        <x:v>Cassée</x:v>
      </x:c>
      <x:c r="K140" t="str">
        <x:v>sourced</x:v>
      </x:c>
      <x:c r="L140" t="str">
        <x:v>masterlist</x:v>
      </x:c>
      <x:c r="M140"/>
      <x:c r="N140" t="str">
        <x:v>https://pokecardex-scans.b-cdn.net/sets_jp/ADVP/55.jpg?class=hd</x:v>
      </x:c>
      <x:c r="O140" t="str">
        <x:v>Non</x:v>
      </x:c>
      <x:c r="P140" s="23" t="str">
        <x:v>Contrôle image en échec</x:v>
      </x:c>
    </x:row>
    <x:row r="141">
      <x:c r="A141" t="str">
        <x:v>blastoise-starter-JP-2004-17</x:v>
      </x:c>
      <x:c r="B141" t="str">
        <x:v>JP</x:v>
      </x:c>
      <x:c r="C141" t="str">
        <x:v>JP</x:v>
      </x:c>
      <x:c r="D141" s="23" t="str">
        <x:v>Blastoise Starter Deck</x:v>
      </x:c>
      <x:c r="E141" t="n">
        <x:v>2004</x:v>
      </x:c>
      <x:c r="F141" t="str">
        <x:v>17/52</x:v>
      </x:c>
      <x:c r="G141" t="str">
        <x:v>Common</x:v>
      </x:c>
      <x:c r="H141" t="str">
        <x:v>Normal</x:v>
      </x:c>
      <x:c r="I141" s="23" t="str"/>
      <x:c r="J141" t="str">
        <x:v>Cassée</x:v>
      </x:c>
      <x:c r="K141" t="str">
        <x:v>sourced</x:v>
      </x:c>
      <x:c r="L141" t="str">
        <x:v>masterlist</x:v>
      </x:c>
      <x:c r="M141"/>
      <x:c r="N141" t="str">
        <x:v>https://tcgrepublic.com/media/binary/000/233/950/233950.jpg</x:v>
      </x:c>
      <x:c r="O141" t="str">
        <x:v>Non</x:v>
      </x:c>
      <x:c r="P141" s="23" t="str">
        <x:v>Contrôle image en échec</x:v>
      </x:c>
    </x:row>
    <x:row r="142">
      <x:c r="A142" t="str">
        <x:v>blastoise-starter-JP-2004-18</x:v>
      </x:c>
      <x:c r="B142" t="str">
        <x:v>JP</x:v>
      </x:c>
      <x:c r="C142" t="str">
        <x:v>JP</x:v>
      </x:c>
      <x:c r="D142" s="23" t="str">
        <x:v>Blastoise Starter Deck</x:v>
      </x:c>
      <x:c r="E142" t="n">
        <x:v>2004</x:v>
      </x:c>
      <x:c r="F142" t="str">
        <x:v>18/52</x:v>
      </x:c>
      <x:c r="G142" t="str">
        <x:v>Common</x:v>
      </x:c>
      <x:c r="H142" t="str">
        <x:v>Normal</x:v>
      </x:c>
      <x:c r="I142" s="23" t="str"/>
      <x:c r="J142" t="str">
        <x:v>Cassée</x:v>
      </x:c>
      <x:c r="K142" t="str">
        <x:v>sourced</x:v>
      </x:c>
      <x:c r="L142" t="str">
        <x:v>masterlist</x:v>
      </x:c>
      <x:c r="M142"/>
      <x:c r="N142" t="str">
        <x:v>https://tcgrepublic.com/media/binary/000/223/423/223423.jpg</x:v>
      </x:c>
      <x:c r="O142" t="str">
        <x:v>Non</x:v>
      </x:c>
      <x:c r="P142" s="23" t="str">
        <x:v>Contrôle image en échec</x:v>
      </x:c>
    </x:row>
    <x:row r="143">
      <x:c r="A143" t="str">
        <x:v>miracle-crystal-JP-2006-18</x:v>
      </x:c>
      <x:c r="B143" t="str">
        <x:v>JP</x:v>
      </x:c>
      <x:c r="C143" t="str">
        <x:v>JP</x:v>
      </x:c>
      <x:c r="D143" s="23" t="str">
        <x:v>Miracle Crystal</x:v>
      </x:c>
      <x:c r="E143" t="n">
        <x:v>2006</x:v>
      </x:c>
      <x:c r="F143" t="str">
        <x:v>18/75</x:v>
      </x:c>
      <x:c r="G143" t="str">
        <x:v>Common</x:v>
      </x:c>
      <x:c r="H143" t="str">
        <x:v>Normal</x:v>
      </x:c>
      <x:c r="I143" s="23" t="str"/>
      <x:c r="J143" t="str">
        <x:v>Cassée</x:v>
      </x:c>
      <x:c r="K143" t="str">
        <x:v>sourced</x:v>
      </x:c>
      <x:c r="L143" t="str">
        <x:v>masterlist</x:v>
      </x:c>
      <x:c r="M143"/>
      <x:c r="N143" t="str">
        <x:v>https://storage.googleapis.com/images.pricecharting.com/7smzd4i3cr6v5lwz/1600.jpg</x:v>
      </x:c>
      <x:c r="O143" t="str">
        <x:v>Non</x:v>
      </x:c>
      <x:c r="P143" s="23" t="str">
        <x:v>Contrôle image en échec</x:v>
      </x:c>
    </x:row>
    <x:row r="144">
      <x:c r="A144" t="str">
        <x:v>ocean-kyogre-JP-2006-3</x:v>
      </x:c>
      <x:c r="B144" t="str">
        <x:v>JP</x:v>
      </x:c>
      <x:c r="C144" t="str">
        <x:v>JP</x:v>
      </x:c>
      <x:c r="D144" s="23" t="str">
        <x:v>Ocean's Kyogre ex Starter Deck</x:v>
      </x:c>
      <x:c r="E144" t="n">
        <x:v>2006</x:v>
      </x:c>
      <x:c r="F144" t="str">
        <x:v>3/16</x:v>
      </x:c>
      <x:c r="G144" t="str">
        <x:v>Common</x:v>
      </x:c>
      <x:c r="H144" t="str">
        <x:v>Normal</x:v>
      </x:c>
      <x:c r="I144" s="23" t="str"/>
      <x:c r="J144" t="str">
        <x:v>Cassée</x:v>
      </x:c>
      <x:c r="K144" t="str">
        <x:v>sourced</x:v>
      </x:c>
      <x:c r="L144" t="str">
        <x:v>masterlist</x:v>
      </x:c>
      <x:c r="M144"/>
      <x:c r="N144" t="str">
        <x:v>https://pokecardex-scans.b-cdn.net/sets_jp/OKCS/3.jpg?class=hd</x:v>
      </x:c>
      <x:c r="O144" t="str">
        <x:v>Non</x:v>
      </x:c>
      <x:c r="P144" s="23" t="str">
        <x:v>Contrôle image en échec</x:v>
      </x:c>
    </x:row>
    <x:row r="145">
      <x:c r="A145" t="str">
        <x:v>pcgp-121-JP-2006-121</x:v>
      </x:c>
      <x:c r="B145" t="str">
        <x:v>JP</x:v>
      </x:c>
      <x:c r="C145" t="str">
        <x:v>JP</x:v>
      </x:c>
      <x:c r="D145" s="23" t="str">
        <x:v>PCG-P Promotional cards</x:v>
      </x:c>
      <x:c r="E145" t="n">
        <x:v>2006</x:v>
      </x:c>
      <x:c r="F145" t="str">
        <x:v>121/PCG-P</x:v>
      </x:c>
      <x:c r="G145" t="str">
        <x:v>Promo</x:v>
      </x:c>
      <x:c r="H145" t="str">
        <x:v>Normal</x:v>
      </x:c>
      <x:c r="I145" s="23" t="str"/>
      <x:c r="J145" t="str">
        <x:v>Cassée</x:v>
      </x:c>
      <x:c r="K145" t="str">
        <x:v>sourced</x:v>
      </x:c>
      <x:c r="L145" t="str">
        <x:v>masterlist</x:v>
      </x:c>
      <x:c r="M145"/>
      <x:c r="N145" t="str">
        <x:v>https://pokecardex-scans.b-cdn.net/sets_jp/PCGP/121.jpg?class=hd</x:v>
      </x:c>
      <x:c r="O145" t="str">
        <x:v>Non</x:v>
      </x:c>
      <x:c r="P145" s="23" t="str">
        <x:v>Contrôle image en échec</x:v>
      </x:c>
    </x:row>
    <x:row r="146">
      <x:c r="A146" t="str">
        <x:v>shining-darkness-JP-2007-</x:v>
      </x:c>
      <x:c r="B146" t="str">
        <x:v>JP</x:v>
      </x:c>
      <x:c r="C146" t="str">
        <x:v>JP</x:v>
      </x:c>
      <x:c r="D146" s="23" t="str">
        <x:v>Shining Darkness</x:v>
      </x:c>
      <x:c r="E146" t="n">
        <x:v>2007</x:v>
      </x:c>
      <x:c r="F146" t="str"/>
      <x:c r="G146" t="str">
        <x:v>Common</x:v>
      </x:c>
      <x:c r="H146" t="str">
        <x:v>Normal</x:v>
      </x:c>
      <x:c r="I146" s="23" t="str"/>
      <x:c r="J146" t="str">
        <x:v>Cassée</x:v>
      </x:c>
      <x:c r="K146" t="str">
        <x:v>sourced</x:v>
      </x:c>
      <x:c r="L146" t="str">
        <x:v>masterlist</x:v>
      </x:c>
      <x:c r="M146"/>
      <x:c r="N146" t="str">
        <x:v>https://storage.googleapis.com/images.pricecharting.com/c3e25dc64e3b9549cd69ff1788da4e4f4f0be5d314eaed8e0e1e6748ce46bc25/1600.jpg</x:v>
      </x:c>
      <x:c r="O146" t="str">
        <x:v>Non</x:v>
      </x:c>
      <x:c r="P146" s="23" t="str">
        <x:v>Contrôle image en échec</x:v>
      </x:c>
    </x:row>
    <x:row r="147">
      <x:c r="A147" t="str">
        <x:v>dptp-9-JP-2009-9</x:v>
      </x:c>
      <x:c r="B147" t="str">
        <x:v>JP</x:v>
      </x:c>
      <x:c r="C147" t="str">
        <x:v>JP</x:v>
      </x:c>
      <x:c r="D147" s="23" t="str">
        <x:v>DPt-P Promotional cards</x:v>
      </x:c>
      <x:c r="E147" t="n">
        <x:v>2009</x:v>
      </x:c>
      <x:c r="F147" t="str">
        <x:v>9/DPt-P</x:v>
      </x:c>
      <x:c r="G147" t="str">
        <x:v>Promo</x:v>
      </x:c>
      <x:c r="H147" t="str">
        <x:v>Normal</x:v>
      </x:c>
      <x:c r="I147" s="23" t="str"/>
      <x:c r="J147" t="str">
        <x:v>Cassée</x:v>
      </x:c>
      <x:c r="K147" t="str">
        <x:v>sourced</x:v>
      </x:c>
      <x:c r="L147" t="str">
        <x:v>masterlist</x:v>
      </x:c>
      <x:c r="M147"/>
      <x:c r="N147" t="str">
        <x:v>https://storage.googleapis.com/images.pricecharting.com/4y763bcjp7hvef5f/1600.jpg</x:v>
      </x:c>
      <x:c r="O147" t="str">
        <x:v>Non</x:v>
      </x:c>
      <x:c r="P147" s="23" t="str">
        <x:v>Contrôle image en échec</x:v>
      </x:c>
    </x:row>
    <x:row r="148">
      <x:c r="A148" t="str">
        <x:v>galactic-conquest-JP-2009-23</x:v>
      </x:c>
      <x:c r="B148" t="str">
        <x:v>JP</x:v>
      </x:c>
      <x:c r="C148" t="str">
        <x:v>JP</x:v>
      </x:c>
      <x:c r="D148" s="23" t="str">
        <x:v>Galactic's Conquest</x:v>
      </x:c>
      <x:c r="E148" t="n">
        <x:v>2009</x:v>
      </x:c>
      <x:c r="F148" t="str">
        <x:v>23/96</x:v>
      </x:c>
      <x:c r="G148" t="str">
        <x:v>Common</x:v>
      </x:c>
      <x:c r="H148" t="str">
        <x:v>Normal</x:v>
      </x:c>
      <x:c r="I148" s="23" t="str"/>
      <x:c r="J148" t="str">
        <x:v>Cassée</x:v>
      </x:c>
      <x:c r="K148" t="str">
        <x:v>sourced</x:v>
      </x:c>
      <x:c r="L148" t="str">
        <x:v>masterlist</x:v>
      </x:c>
      <x:c r="M148"/>
      <x:c r="N148" t="str">
        <x:v>https://pokecardex-scans.b-cdn.net/sets_jp/PT1/23.jpg?class=hd</x:v>
      </x:c>
      <x:c r="O148" t="str">
        <x:v>Non</x:v>
      </x:c>
      <x:c r="P148" s="23" t="str">
        <x:v>Contrôle image en échec</x:v>
      </x:c>
    </x:row>
    <x:row r="149">
      <x:c r="A149" t="str">
        <x:v>blastoise-battle-JP-2010-1</x:v>
      </x:c>
      <x:c r="B149" t="str">
        <x:v>JP</x:v>
      </x:c>
      <x:c r="C149" t="str">
        <x:v>JP</x:v>
      </x:c>
      <x:c r="D149" s="23" t="str">
        <x:v>Blastoise Battle Starter Deck</x:v>
      </x:c>
      <x:c r="E149" t="n">
        <x:v>2010</x:v>
      </x:c>
      <x:c r="F149" t="str">
        <x:v>1/10</x:v>
      </x:c>
      <x:c r="G149" t="str">
        <x:v>Common</x:v>
      </x:c>
      <x:c r="H149" t="str">
        <x:v>Normal</x:v>
      </x:c>
      <x:c r="I149" s="23" t="str"/>
      <x:c r="J149" t="str">
        <x:v>Cassée</x:v>
      </x:c>
      <x:c r="K149" t="str">
        <x:v>sourced</x:v>
      </x:c>
      <x:c r="L149" t="str">
        <x:v>masterlist</x:v>
      </x:c>
      <x:c r="M149"/>
      <x:c r="N149" t="str">
        <x:v>https://pokecardex-scans.b-cdn.net/sets_jp/BSDB/1.jpg?class=hd</x:v>
      </x:c>
      <x:c r="O149" t="str">
        <x:v>Non</x:v>
      </x:c>
      <x:c r="P149" s="23" t="str">
        <x:v>Contrôle image en échec</x:v>
      </x:c>
    </x:row>
    <x:row r="150">
      <x:c r="A150" t="str">
        <x:v>cold-flare-JP-2012-12</x:v>
      </x:c>
      <x:c r="B150" t="str">
        <x:v>JP</x:v>
      </x:c>
      <x:c r="C150" t="str">
        <x:v>JP</x:v>
      </x:c>
      <x:c r="D150" s="23" t="str">
        <x:v>Cold Flare</x:v>
      </x:c>
      <x:c r="E150" t="n">
        <x:v>2012</x:v>
      </x:c>
      <x:c r="F150" t="str">
        <x:v>12/59</x:v>
      </x:c>
      <x:c r="G150" t="str">
        <x:v>Common</x:v>
      </x:c>
      <x:c r="H150" t="str">
        <x:v>Normal</x:v>
      </x:c>
      <x:c r="I150" s="23" t="str"/>
      <x:c r="J150" t="str">
        <x:v>Cassée</x:v>
      </x:c>
      <x:c r="K150" t="str">
        <x:v>sourced</x:v>
      </x:c>
      <x:c r="L150" t="str">
        <x:v>masterlist</x:v>
      </x:c>
      <x:c r="M150"/>
      <x:c r="N150" t="str">
        <x:v>https://storage.googleapis.com/images.pricecharting.com/eyux6q2ob6gj6uow/1600.jpg</x:v>
      </x:c>
      <x:c r="O150" t="str">
        <x:v>Non</x:v>
      </x:c>
      <x:c r="P150" s="23" t="str">
        <x:v>Contrôle image en échec</x:v>
      </x:c>
    </x:row>
    <x:row r="151">
      <x:c r="A151" t="str">
        <x:v>bkb-battle-JP-2013-1</x:v>
      </x:c>
      <x:c r="B151" t="str">
        <x:v>JP</x:v>
      </x:c>
      <x:c r="C151" t="str">
        <x:v>JP</x:v>
      </x:c>
      <x:c r="D151" s="23" t="str">
        <x:v>Black Kyurem-EX Battle Strength Deck</x:v>
      </x:c>
      <x:c r="E151" t="n">
        <x:v>2013</x:v>
      </x:c>
      <x:c r="F151" t="str">
        <x:v>1/18</x:v>
      </x:c>
      <x:c r="G151" t="str">
        <x:v>Common</x:v>
      </x:c>
      <x:c r="H151" t="str">
        <x:v>Normal</x:v>
      </x:c>
      <x:c r="I151" s="23" t="str"/>
      <x:c r="J151" t="str">
        <x:v>Cassée</x:v>
      </x:c>
      <x:c r="K151" t="str">
        <x:v>sourced</x:v>
      </x:c>
      <x:c r="L151" t="str">
        <x:v>masterlist</x:v>
      </x:c>
      <x:c r="M151"/>
      <x:c r="N151" t="str">
        <x:v>https://ik.imagekit.io/cardnexus/production/pokemon-japan/bkb-black-kyurem-ex-battle-strength-deck-001018-normal.jpg/tr:w-640,q-80</x:v>
      </x:c>
      <x:c r="O151" t="str">
        <x:v>Non</x:v>
      </x:c>
      <x:c r="P151" s="23" t="str">
        <x:v>Contrôle image en échec</x:v>
      </x:c>
    </x:row>
    <x:row r="152">
      <x:c r="A152" t="str">
        <x:v>blastoise-kyurem-JP-2013-1</x:v>
      </x:c>
      <x:c r="B152" t="str">
        <x:v>JP</x:v>
      </x:c>
      <x:c r="C152" t="str">
        <x:v>JP</x:v>
      </x:c>
      <x:c r="D152" s="23" t="str">
        <x:v>Blastoise + Kyurem-EX Combo Deck</x:v>
      </x:c>
      <x:c r="E152" t="n">
        <x:v>2013</x:v>
      </x:c>
      <x:c r="F152" t="str">
        <x:v>1/18</x:v>
      </x:c>
      <x:c r="G152" t="str">
        <x:v>Common</x:v>
      </x:c>
      <x:c r="H152" t="str">
        <x:v>Normal</x:v>
      </x:c>
      <x:c r="I152" s="23" t="str"/>
      <x:c r="J152" t="str">
        <x:v>Cassée</x:v>
      </x:c>
      <x:c r="K152" t="str">
        <x:v>sourced</x:v>
      </x:c>
      <x:c r="L152" t="str">
        <x:v>masterlist</x:v>
      </x:c>
      <x:c r="M152"/>
      <x:c r="N152" t="str">
        <x:v>https://storage.googleapis.com/images.pricecharting.com/y7t4lumlsqlzwu5o/1600.jpg</x:v>
      </x:c>
      <x:c r="O152" t="str">
        <x:v>Non</x:v>
      </x:c>
      <x:c r="P152" s="23" t="str">
        <x:v>Contrôle image en échec</x:v>
      </x:c>
    </x:row>
    <x:row r="153">
      <x:c r="A153" t="str">
        <x:v>full-metal-wall-JP-2019-8</x:v>
      </x:c>
      <x:c r="B153" t="str">
        <x:v>JP</x:v>
      </x:c>
      <x:c r="C153" t="str">
        <x:v>JP</x:v>
      </x:c>
      <x:c r="D153" s="23" t="str">
        <x:v>Full Metal Wall</x:v>
      </x:c>
      <x:c r="E153" t="n">
        <x:v>2019</x:v>
      </x:c>
      <x:c r="F153" t="str">
        <x:v>8/54</x:v>
      </x:c>
      <x:c r="G153" t="str">
        <x:v>Common</x:v>
      </x:c>
      <x:c r="H153" t="str">
        <x:v>Normal</x:v>
      </x:c>
      <x:c r="I153" s="23" t="str"/>
      <x:c r="J153" t="str">
        <x:v>À vérifier</x:v>
      </x:c>
      <x:c r="K153" t="str">
        <x:v>image_ok</x:v>
      </x:c>
      <x:c r="L153" t="str">
        <x:v>masterlist</x:v>
      </x:c>
      <x:c r="M153"/>
      <x:c r="N153" t="str">
        <x:v>https://assets.tcgdex.net/en/sm/sm10/33/high.webp</x:v>
      </x:c>
      <x:c r="O153" t="str">
        <x:v>Non</x:v>
      </x:c>
      <x:c r="P153" s="23" t="str"/>
    </x:row>
    <x:row r="154">
      <x:c r="A154" t="str">
        <x:v>tag-all-stars-JP-2019-29</x:v>
      </x:c>
      <x:c r="B154" t="str">
        <x:v>JP</x:v>
      </x:c>
      <x:c r="C154" t="str">
        <x:v>JP</x:v>
      </x:c>
      <x:c r="D154" s="23" t="str">
        <x:v>Tag All Stars</x:v>
      </x:c>
      <x:c r="E154" t="n">
        <x:v>2019</x:v>
      </x:c>
      <x:c r="F154" t="str">
        <x:v>29/173</x:v>
      </x:c>
      <x:c r="G154" t="str">
        <x:v>Common</x:v>
      </x:c>
      <x:c r="H154" t="str">
        <x:v>Normal</x:v>
      </x:c>
      <x:c r="I154" s="23" t="str"/>
      <x:c r="J154" t="str">
        <x:v>À vérifier</x:v>
      </x:c>
      <x:c r="K154" t="str">
        <x:v>image_ok</x:v>
      </x:c>
      <x:c r="L154" t="str">
        <x:v>masterlist</x:v>
      </x:c>
      <x:c r="M154"/>
      <x:c r="N154" t="str">
        <x:v>https://assets.tcgdex.net/en/sm/sm10/33/high.webp</x:v>
      </x:c>
      <x:c r="O154" t="str">
        <x:v>Non</x:v>
      </x:c>
      <x:c r="P154" s="23" t="str"/>
    </x:row>
    <x:row r="155">
      <x:c r="A155" t="str">
        <x:v>tag-bolt-JP-2019-20</x:v>
      </x:c>
      <x:c r="B155" t="str">
        <x:v>JP</x:v>
      </x:c>
      <x:c r="C155" t="str">
        <x:v>JP</x:v>
      </x:c>
      <x:c r="D155" s="23" t="str">
        <x:v>Tag Bolt</x:v>
      </x:c>
      <x:c r="E155" t="n">
        <x:v>2019</x:v>
      </x:c>
      <x:c r="F155" t="str">
        <x:v>20/95</x:v>
      </x:c>
      <x:c r="G155" t="str">
        <x:v>Common</x:v>
      </x:c>
      <x:c r="H155" t="str">
        <x:v>Normal</x:v>
      </x:c>
      <x:c r="I155" s="23" t="str"/>
      <x:c r="J155" t="str">
        <x:v>À vérifier</x:v>
      </x:c>
      <x:c r="K155" t="str">
        <x:v>image_ok</x:v>
      </x:c>
      <x:c r="L155" t="str">
        <x:v>masterlist</x:v>
      </x:c>
      <x:c r="M155"/>
      <x:c r="N155" t="str">
        <x:v>https://assets.tcgdex.net/en/sm/sm9/22/high.webp</x:v>
      </x:c>
      <x:c r="O155" t="str">
        <x:v>Non</x:v>
      </x:c>
      <x:c r="P155" s="23" t="str"/>
    </x:row>
    <x:row r="156">
      <x:c r="A156" t="str">
        <x:v>tag-bolt-JP-2019-21</x:v>
      </x:c>
      <x:c r="B156" t="str">
        <x:v>JP</x:v>
      </x:c>
      <x:c r="C156" t="str">
        <x:v>JP</x:v>
      </x:c>
      <x:c r="D156" s="23" t="str">
        <x:v>Tag Bolt</x:v>
      </x:c>
      <x:c r="E156" t="n">
        <x:v>2019</x:v>
      </x:c>
      <x:c r="F156" t="str">
        <x:v>21/95</x:v>
      </x:c>
      <x:c r="G156" t="str">
        <x:v>Common</x:v>
      </x:c>
      <x:c r="H156" t="str">
        <x:v>Normal</x:v>
      </x:c>
      <x:c r="I156" s="23" t="str"/>
      <x:c r="J156" t="str">
        <x:v>À vérifier</x:v>
      </x:c>
      <x:c r="K156" t="str">
        <x:v>image_ok</x:v>
      </x:c>
      <x:c r="L156" t="str">
        <x:v>masterlist</x:v>
      </x:c>
      <x:c r="M156"/>
      <x:c r="N156" t="str">
        <x:v>https://assets.tcgdex.net/en/sm/sm9/23/high.webp</x:v>
      </x:c>
      <x:c r="O156" t="str">
        <x:v>Non</x:v>
      </x:c>
      <x:c r="P156" s="23" t="str"/>
    </x:row>
    <x:row r="157">
      <x:c r="A157" t="str">
        <x:v>pogo-JP-2022-15</x:v>
      </x:c>
      <x:c r="B157" t="str">
        <x:v>JP</x:v>
      </x:c>
      <x:c r="C157" t="str">
        <x:v>JP</x:v>
      </x:c>
      <x:c r="D157" s="23" t="str">
        <x:v>Pokemon GO</x:v>
      </x:c>
      <x:c r="E157" t="n">
        <x:v>2022</x:v>
      </x:c>
      <x:c r="F157" t="str">
        <x:v>15/78</x:v>
      </x:c>
      <x:c r="G157" t="str">
        <x:v>Common</x:v>
      </x:c>
      <x:c r="H157" t="str">
        <x:v>Normal</x:v>
      </x:c>
      <x:c r="I157" s="23" t="str"/>
      <x:c r="J157" t="str">
        <x:v>À vérifier</x:v>
      </x:c>
      <x:c r="K157" t="str">
        <x:v>image_ok</x:v>
      </x:c>
      <x:c r="L157" t="str">
        <x:v>masterlist</x:v>
      </x:c>
      <x:c r="M157"/>
      <x:c r="N157" t="str">
        <x:v>https://assets.tcgdex.net/en/swsh/swsh10.5/015/high.webp</x:v>
      </x:c>
      <x:c r="O157" t="str">
        <x:v>Non</x:v>
      </x:c>
      <x:c r="P157" s="23" t="str"/>
    </x:row>
    <x:row r="158">
      <x:c r="A158" t="str">
        <x:v>sp-290-JP-2022-290</x:v>
      </x:c>
      <x:c r="B158" t="str">
        <x:v>JP</x:v>
      </x:c>
      <x:c r="C158" t="str">
        <x:v>JP</x:v>
      </x:c>
      <x:c r="D158" s="23" t="str">
        <x:v>S-P Promotional cards</x:v>
      </x:c>
      <x:c r="E158" t="n">
        <x:v>2022</x:v>
      </x:c>
      <x:c r="F158" t="str">
        <x:v>290/S-P</x:v>
      </x:c>
      <x:c r="G158" t="str">
        <x:v>Promo</x:v>
      </x:c>
      <x:c r="H158" t="str">
        <x:v>Normal</x:v>
      </x:c>
      <x:c r="I158" s="23" t="str"/>
      <x:c r="J158" t="str">
        <x:v>Cassée</x:v>
      </x:c>
      <x:c r="K158" t="str">
        <x:v>sourced</x:v>
      </x:c>
      <x:c r="L158" t="str">
        <x:v>masterlist</x:v>
      </x:c>
      <x:c r="M158"/>
      <x:c r="N158" t="str">
        <x:v>https://storage.googleapis.com/images.pricecharting.com/44b24a85f676d0847e88772ac58ab971606bca16a699234d24da7dac03b8afe1/1600.jpg</x:v>
      </x:c>
      <x:c r="O158" t="str">
        <x:v>Non</x:v>
      </x:c>
      <x:c r="P158" s="23" t="str">
        <x:v>Contrôle image en échec</x:v>
      </x:c>
    </x:row>
    <x:row r="159">
      <x:c r="A159" t="str">
        <x:v>bs-suicune-deck-JP-2023-1</x:v>
      </x:c>
      <x:c r="B159" t="str">
        <x:v>JP</x:v>
      </x:c>
      <x:c r="C159" t="str">
        <x:v>JP</x:v>
      </x:c>
      <x:c r="D159" s="23" t="str">
        <x:v>Blastoise &amp; Suicune ex Deck</x:v>
      </x:c>
      <x:c r="E159" t="n">
        <x:v>2023</x:v>
      </x:c>
      <x:c r="F159" t="str">
        <x:v>1/32</x:v>
      </x:c>
      <x:c r="G159" t="str">
        <x:v>Holo Rare</x:v>
      </x:c>
      <x:c r="H159" t="str">
        <x:v>Holo</x:v>
      </x:c>
      <x:c r="I159" s="23" t="str">
        <x:v>JP equivalent of Trading Card Game Classic</x:v>
      </x:c>
      <x:c r="J159" t="str">
        <x:v>À vérifier</x:v>
      </x:c>
      <x:c r="K159" t="str">
        <x:v>image_ok</x:v>
      </x:c>
      <x:c r="L159" t="str">
        <x:v>masterlist</x:v>
      </x:c>
      <x:c r="M159"/>
      <x:c r="N159" t="str">
        <x:v>https://assets.tcgdex.net/en/sv/svp/007/high.webp</x:v>
      </x:c>
      <x:c r="O159" t="str">
        <x:v>Non</x:v>
      </x:c>
      <x:c r="P159" s="23" t="str"/>
    </x:row>
    <x:row r="160">
      <x:c r="A160" t="str">
        <x:v>pkmn151-ar-JP-2023-170</x:v>
      </x:c>
      <x:c r="B160" t="str">
        <x:v>JP</x:v>
      </x:c>
      <x:c r="C160" t="str">
        <x:v>JP</x:v>
      </x:c>
      <x:c r="D160" s="23" t="str">
        <x:v>Pokemon Card 151</x:v>
      </x:c>
      <x:c r="E160" t="n">
        <x:v>2023</x:v>
      </x:c>
      <x:c r="F160" t="str">
        <x:v>170/165</x:v>
      </x:c>
      <x:c r="G160" t="str">
        <x:v>Art Rare</x:v>
      </x:c>
      <x:c r="H160" t="str">
        <x:v>Holo</x:v>
      </x:c>
      <x:c r="I160" s="23" t="str"/>
      <x:c r="J160" t="str">
        <x:v>À vérifier</x:v>
      </x:c>
      <x:c r="K160" t="str">
        <x:v>image_ok</x:v>
      </x:c>
      <x:c r="L160" t="str">
        <x:v>masterlist</x:v>
      </x:c>
      <x:c r="M160"/>
      <x:c r="N160" t="str">
        <x:v>https://assets.tcgdex.net/en/sv/sv03.5/170/high.webp</x:v>
      </x:c>
      <x:c r="O160" t="str">
        <x:v>Non</x:v>
      </x:c>
      <x:c r="P160" s="23" t="str"/>
    </x:row>
    <x:row r="161">
      <x:c r="A161" t="str">
        <x:v>pkmn151-JP-2023-7</x:v>
      </x:c>
      <x:c r="B161" t="str">
        <x:v>JP</x:v>
      </x:c>
      <x:c r="C161" t="str">
        <x:v>JP</x:v>
      </x:c>
      <x:c r="D161" s="23" t="str">
        <x:v>Pokemon Card 151</x:v>
      </x:c>
      <x:c r="E161" t="n">
        <x:v>2023</x:v>
      </x:c>
      <x:c r="F161" t="str">
        <x:v>7/165</x:v>
      </x:c>
      <x:c r="G161" t="str">
        <x:v>Common</x:v>
      </x:c>
      <x:c r="H161" t="str">
        <x:v>Normal</x:v>
      </x:c>
      <x:c r="I161" s="23" t="str"/>
      <x:c r="J161" t="str">
        <x:v>À vérifier</x:v>
      </x:c>
      <x:c r="K161" t="str">
        <x:v>image_ok</x:v>
      </x:c>
      <x:c r="L161" t="str">
        <x:v>masterlist</x:v>
      </x:c>
      <x:c r="M161"/>
      <x:c r="N161" t="str">
        <x:v>https://assets.tcgdex.net/en/sv/sv03.5/007/high.webp</x:v>
      </x:c>
      <x:c r="O161" t="str">
        <x:v>Non</x:v>
      </x:c>
      <x:c r="P161" s="23" t="str"/>
    </x:row>
    <x:row r="162">
      <x:c r="A162" t="str">
        <x:v>svp-61-JP-2023-61</x:v>
      </x:c>
      <x:c r="B162" t="str">
        <x:v>JP</x:v>
      </x:c>
      <x:c r="C162" t="str">
        <x:v>JP</x:v>
      </x:c>
      <x:c r="D162" s="23" t="str">
        <x:v>SV-P Promotional cards</x:v>
      </x:c>
      <x:c r="E162" t="n">
        <x:v>2023</x:v>
      </x:c>
      <x:c r="F162" t="str">
        <x:v>61/SV-P</x:v>
      </x:c>
      <x:c r="G162" t="str">
        <x:v>Promo</x:v>
      </x:c>
      <x:c r="H162" t="str">
        <x:v>Normal</x:v>
      </x:c>
      <x:c r="I162" s="23" t="str"/>
      <x:c r="J162" t="str">
        <x:v>Cassée</x:v>
      </x:c>
      <x:c r="K162" t="str">
        <x:v>sourced</x:v>
      </x:c>
      <x:c r="L162" t="str">
        <x:v>masterlist</x:v>
      </x:c>
      <x:c r="M162"/>
      <x:c r="N162" t="str">
        <x:v>https://storage.googleapis.com/images.pricecharting.com/4xijx75bm3h3b4tm/1600.jpg</x:v>
      </x:c>
      <x:c r="O162" t="str">
        <x:v>Non</x:v>
      </x:c>
      <x:c r="P162" s="23" t="str">
        <x:v>Contrôle image en échec</x:v>
      </x:c>
    </x:row>
    <x:row r="163">
      <x:c r="A163" t="str">
        <x:v>vsc-special-JP-2023-14</x:v>
      </x:c>
      <x:c r="B163" t="str">
        <x:v>JP</x:v>
      </x:c>
      <x:c r="C163" t="str">
        <x:v>JP</x:v>
      </x:c>
      <x:c r="D163" s="23" t="str">
        <x:v>Venusaur &amp; Charizard &amp; Blastoise Special Deck Set ex</x:v>
      </x:c>
      <x:c r="E163" t="n">
        <x:v>2023</x:v>
      </x:c>
      <x:c r="F163" t="str">
        <x:v>14/49</x:v>
      </x:c>
      <x:c r="G163" t="str">
        <x:v>Common</x:v>
      </x:c>
      <x:c r="H163" t="str">
        <x:v>Normal</x:v>
      </x:c>
      <x:c r="I163" s="23" t="str"/>
      <x:c r="J163" t="str">
        <x:v>Cassée</x:v>
      </x:c>
      <x:c r="K163" t="str">
        <x:v>sourced</x:v>
      </x:c>
      <x:c r="L163" t="str">
        <x:v>masterlist</x:v>
      </x:c>
      <x:c r="M163"/>
      <x:c r="N163" t="str">
        <x:v>https://pokecardex-scans.b-cdn.net/sets_jp/SVG/14.jpg?class=hd</x:v>
      </x:c>
      <x:c r="O163" t="str">
        <x:v>Non</x:v>
      </x:c>
      <x:c r="P163" s="23" t="str">
        <x:v>Contrôle image en échec</x:v>
      </x:c>
    </x:row>
    <x:row r="164">
      <x:c r="A164" t="str">
        <x:v>vsc-special-JP-2023-52</x:v>
      </x:c>
      <x:c r="B164" t="str">
        <x:v>JP</x:v>
      </x:c>
      <x:c r="C164" t="str">
        <x:v>JP</x:v>
      </x:c>
      <x:c r="D164" s="23" t="str">
        <x:v>Venusaur &amp; Charizard &amp; Blastoise Special Deck Set ex</x:v>
      </x:c>
      <x:c r="E164" t="n">
        <x:v>2023</x:v>
      </x:c>
      <x:c r="F164" t="str">
        <x:v>52/49</x:v>
      </x:c>
      <x:c r="G164" t="str">
        <x:v>Special Illustration Rare</x:v>
      </x:c>
      <x:c r="H164" t="str">
        <x:v>Holo</x:v>
      </x:c>
      <x:c r="I164" s="23" t="str">
        <x:v>Stellar Crown JP equivalent</x:v>
      </x:c>
      <x:c r="J164" t="str">
        <x:v>Cassée</x:v>
      </x:c>
      <x:c r="K164" t="str">
        <x:v>sourced</x:v>
      </x:c>
      <x:c r="L164" t="str">
        <x:v>masterlist</x:v>
      </x:c>
      <x:c r="M164"/>
      <x:c r="N164" t="str">
        <x:v>https://tcgrepublic.com/media/binary/000/493/428/493428.jpg</x:v>
      </x:c>
      <x:c r="O164" t="str">
        <x:v>Non</x:v>
      </x:c>
      <x:c r="P164" s="23" t="str">
        <x:v>Contrôle image en échec</x:v>
      </x:c>
    </x:row>
    <x:row r="165">
      <x:c r="A165" t="str">
        <x:v>30thp-3-JP-2024-3</x:v>
      </x:c>
      <x:c r="B165" t="str">
        <x:v>ZH</x:v>
      </x:c>
      <x:c r="C165" t="str">
        <x:v>ZH</x:v>
      </x:c>
      <x:c r="D165" s="23" t="str">
        <x:v>30th-P Promotional cards</x:v>
      </x:c>
      <x:c r="E165" t="n">
        <x:v>2024</x:v>
      </x:c>
      <x:c r="F165" t="str">
        <x:v>3/30th-P</x:v>
      </x:c>
      <x:c r="G165" t="str">
        <x:v>Promo</x:v>
      </x:c>
      <x:c r="H165" t="str">
        <x:v>Normal</x:v>
      </x:c>
      <x:c r="I165" s="23" t="str"/>
      <x:c r="J165" t="str">
        <x:v>Cassée</x:v>
      </x:c>
      <x:c r="K165" t="str">
        <x:v>sourced</x:v>
      </x:c>
      <x:c r="L165" t="str">
        <x:v>masterlist</x:v>
      </x:c>
      <x:c r="M165"/>
      <x:c r="N165" t="str">
        <x:v>https://pokecardex-scans.b-cdn.net/sets_chn/30THP/3.jpg?class=hd</x:v>
      </x:c>
      <x:c r="O165" t="str">
        <x:v>Non</x:v>
      </x:c>
      <x:c r="P165" s="23" t="str">
        <x:v>Contrôle image en échec</x:v>
      </x:c>
    </x:row>
  </x:sheetData>
  <x:mergeCells>
    <x:mergeCell ref="A1:P1"/>
    <x:mergeCell ref="A2:P2"/>
  </x:mergeCells>
  <x:conditionalFormatting sqref="J6:J165">
    <x:cfRule type="containsText" dxfId="8" priority="1" operator="containsText" text="OK"/>
    <x:cfRule type="containsText" dxfId="9" priority="2" operator="containsText" text="Absente"/>
    <x:cfRule type="containsText" dxfId="10" priority="3" operator="containsText" text="Cassée"/>
    <x:cfRule type="containsText" dxfId="11" priority="4" operator="containsText" text="À vérifier"/>
  </x:conditionalFormatting>
  <x:conditionalFormatting sqref="P6:P165">
    <x:cfRule type="notContainsBlanks" dxfId="12" priority="5"/>
  </x:conditionalFormatting>
  <x:pageMargins left="0.7" right="0.7" top="0.75" bottom="0.75" header="0.3" footer="0.3"/>
  <x:tableParts count="1">
    <x:tablePart xmlns:r="http://schemas.openxmlformats.org/officeDocument/2006/relationships" r:id="R3a0b74d2b10641b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44" hidden="0" customWidth="1"/>
    <x:col min="4" max="4" width="9" hidden="0" customWidth="1"/>
    <x:col min="5" max="5" width="32" hidden="0" customWidth="1"/>
    <x:col min="6" max="6" width="9" hidden="0" customWidth="1"/>
    <x:col min="7" max="7" width="15" hidden="0" customWidth="1"/>
    <x:col min="8" max="8" width="58" hidden="0" customWidth="1"/>
    <x:col min="9" max="9" width="58" hidden="0" customWidth="1"/>
  </x:cols>
  <x:sheetData>
    <x:row r="1" ht="32" customHeight="1">
      <x:c r="A1" s="3" t="str">
        <x:v>Audit anti-doublon et qualité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8" t="str">
        <x:v>Les groupes ci-dessous sont des anomalies à traiter, pas des suppressions automatiques.</x:v>
      </x:c>
      <x:c r="B2" s="8"/>
      <x:c r="C2" s="8"/>
      <x:c r="D2" s="8"/>
      <x:c r="E2" s="8"/>
      <x:c r="F2" s="8"/>
      <x:c r="G2" s="8"/>
      <x:c r="H2" s="8"/>
      <x:c r="I2" s="8"/>
    </x:row>
    <x:row r="5" ht="28" customHeight="1">
      <x:c r="A5" s="16" t="str">
        <x:v>Catégorie</x:v>
      </x:c>
      <x:c r="B5" s="16" t="str">
        <x:v>Priorité</x:v>
      </x:c>
      <x:c r="C5" s="16" t="str">
        <x:v>ID concerné(s)</x:v>
      </x:c>
      <x:c r="D5" s="16" t="str">
        <x:v>Langue</x:v>
      </x:c>
      <x:c r="E5" s="16" t="str">
        <x:v>Set</x:v>
      </x:c>
      <x:c r="F5" s="16" t="str">
        <x:v>Année</x:v>
      </x:c>
      <x:c r="G5" s="16" t="str">
        <x:v>Numéro</x:v>
      </x:c>
      <x:c r="H5" s="16" t="str">
        <x:v>Constat</x:v>
      </x:c>
      <x:c r="I5" s="16" t="str">
        <x:v>Action proposée</x:v>
      </x:c>
    </x:row>
    <x:row r="6">
      <x:c r="A6" t="str">
        <x:v>Clé anti-doublon ambiguë</x:v>
      </x:c>
      <x:c r="B6" t="str">
        <x:v>Haute</x:v>
      </x:c>
      <x:c r="C6" s="23" t="str">
        <x:v>xy-champ-2016-finalist-EN, xy-champ-2016-staff-EN, xy-champ-2016-t32-EN, xy-champ-2016-sf-EN, xy-champ-2016-EN, xy-champ-2016-champion-EN, xy-champ-2016-qf-EN, xy-champ-2016-t16-EN</x:v>
      </x:c>
      <x:c r="D6" t="str">
        <x:v>EN</x:v>
      </x:c>
      <x:c r="E6" t="str">
        <x:v>xy promos</x:v>
      </x:c>
      <x:c r="F6" t="str">
        <x:v>2016</x:v>
      </x:c>
      <x:c r="G6" t="str">
        <x:v>xy176</x:v>
      </x:c>
      <x:c r="H6" s="23" t="str">
        <x:v>Même langue/set/numéro/variante/année; les notes semblent porter la vraie sous-variante</x:v>
      </x:c>
      <x:c r="I6" s="23" t="str">
        <x:v>Conserver les lignes, mais déplacer Staff/Champion/Finalist/etc. de note vers un champ sous_variante ou stamp</x:v>
      </x:c>
    </x:row>
    <x:row r="7">
      <x:c r="A7" t="str">
        <x:v>Clé anti-doublon ambiguë</x:v>
      </x:c>
      <x:c r="B7" t="str">
        <x:v>Haute</x:v>
      </x:c>
      <x:c r="C7" s="23" t="str">
        <x:v>sm-champ-2019-staff-EN, sm-champ-2019-sf-EN, sm-champ-2019-qf-EN, sm-champ-2019-champion-EN, sm-champ-2019-finalist-EN, sm-champ-2019-t16-EN, sm-champ-2019-t32-EN, sm-champ-2019-EN</x:v>
      </x:c>
      <x:c r="D7" t="str">
        <x:v>EN</x:v>
      </x:c>
      <x:c r="E7" t="str">
        <x:v>sm promos</x:v>
      </x:c>
      <x:c r="F7" t="str">
        <x:v>2019</x:v>
      </x:c>
      <x:c r="G7" t="str">
        <x:v>sm231</x:v>
      </x:c>
      <x:c r="H7" s="23" t="str">
        <x:v>Même langue/set/numéro/variante/année; les notes semblent porter la vraie sous-variante</x:v>
      </x:c>
      <x:c r="I7" s="23" t="str">
        <x:v>Conserver les lignes, mais déplacer Staff/Champion/Finalist/etc. de note vers un champ sous_variante ou stamp</x:v>
      </x:c>
    </x:row>
    <x:row r="8">
      <x:c r="A8" t="str">
        <x:v>Pocket mélangé au physique</x:v>
      </x:c>
      <x:c r="B8" t="str">
        <x:v>Haute</x:v>
      </x:c>
      <x:c r="C8" s="23" t="str">
        <x:v>P-A-DE-2024-033</x:v>
      </x:c>
      <x:c r="D8" t="str">
        <x:v>DE</x:v>
      </x:c>
      <x:c r="E8" t="str">
        <x:v>PROMO-A</x:v>
      </x:c>
      <x:c r="F8" t="n">
        <x:v>2024</x:v>
      </x:c>
      <x:c r="G8" t="str">
        <x:v>033</x:v>
      </x:c>
      <x:c r="H8" s="23" t="str">
        <x:v>Carte numérique TCG Pocket dans le même catalogue que les impressions physiques</x:v>
      </x:c>
      <x:c r="I8" s="23" t="str">
        <x:v>Déplacer vers une table/collection format=tcg_pocket</x:v>
      </x:c>
    </x:row>
    <x:row r="9">
      <x:c r="A9" t="str">
        <x:v>Pocket mélangé au physique</x:v>
      </x:c>
      <x:c r="B9" t="str">
        <x:v>Haute</x:v>
      </x:c>
      <x:c r="C9" s="23" t="str">
        <x:v>A1-DE-2024-053</x:v>
      </x:c>
      <x:c r="D9" t="str">
        <x:v>DE</x:v>
      </x:c>
      <x:c r="E9" t="str">
        <x:v>Unschlagbare Gene</x:v>
      </x:c>
      <x:c r="F9" t="n">
        <x:v>2024</x:v>
      </x:c>
      <x:c r="G9" t="str">
        <x:v>53/226</x:v>
      </x:c>
      <x:c r="H9" s="23" t="str">
        <x:v>Carte numérique TCG Pocket dans le même catalogue que les impressions physiques</x:v>
      </x:c>
      <x:c r="I9" s="23" t="str">
        <x:v>Déplacer vers une table/collection format=tcg_pocket</x:v>
      </x:c>
    </x:row>
    <x:row r="10">
      <x:c r="A10" t="str">
        <x:v>Image absente ou cassée</x:v>
      </x:c>
      <x:c r="B10" t="str">
        <x:v>Moyenne</x:v>
      </x:c>
      <x:c r="C10" s="23" t="str">
        <x:v>base-JP-1996-</x:v>
      </x:c>
      <x:c r="D10" t="str">
        <x:v>JP</x:v>
      </x:c>
      <x:c r="E10" t="str">
        <x:v>Expansion Pack</x:v>
      </x:c>
      <x:c r="F10" t="n">
        <x:v>1996</x:v>
      </x:c>
      <x:c r="G10" t="str">
        <x:v>007</x:v>
      </x:c>
      <x:c r="H10" s="23" t="str">
        <x:v>pas d'image_url</x:v>
      </x:c>
      <x:c r="I10" s="23" t="str">
        <x:v>Remplacer l’URL et valider visuellement la langue et la variante</x:v>
      </x:c>
    </x:row>
    <x:row r="11">
      <x:c r="A11" t="str">
        <x:v>Image absente ou cassée</x:v>
      </x:c>
      <x:c r="B11" t="str">
        <x:v>Moyenne</x:v>
      </x:c>
      <x:c r="C11" s="23" t="str">
        <x:v>exp-sheet1-JP-1996-</x:v>
      </x:c>
      <x:c r="D11" t="str">
        <x:v>JP</x:v>
      </x:c>
      <x:c r="E11" t="str">
        <x:v>Expansion Sheet 1</x:v>
      </x:c>
      <x:c r="F11" t="n">
        <x:v>1996</x:v>
      </x:c>
      <x:c r="G11" t="str"/>
      <x:c r="H11" s="23" t="str">
        <x:v>pas d'image_url</x:v>
      </x:c>
      <x:c r="I11" s="23" t="str">
        <x:v>Remplacer l’URL et valider visuellement la langue et la variante</x:v>
      </x:c>
    </x:row>
    <x:row r="12">
      <x:c r="A12" t="str">
        <x:v>Image absente ou cassée</x:v>
      </x:c>
      <x:c r="B12" t="str">
        <x:v>Moyenne</x:v>
      </x:c>
      <x:c r="C12" s="23" t="str">
        <x:v>base-promo-JP-1996-</x:v>
      </x:c>
      <x:c r="D12" t="str">
        <x:v>JP</x:v>
      </x:c>
      <x:c r="E12" t="str">
        <x:v>Unnumbered Promos JP</x:v>
      </x:c>
      <x:c r="F12" t="n">
        <x:v>1996</x:v>
      </x:c>
      <x:c r="G12" t="str"/>
      <x:c r="H12" s="23" t="str">
        <x:v>pas d'image_url</x:v>
      </x:c>
      <x:c r="I12" s="23" t="str">
        <x:v>Remplacer l’URL et valider visuellement la langue et la variante</x:v>
      </x:c>
    </x:row>
    <x:row r="13">
      <x:c r="A13" t="str">
        <x:v>Image absente ou cassée</x:v>
      </x:c>
      <x:c r="B13" t="str">
        <x:v>Moyenne</x:v>
      </x:c>
      <x:c r="C13" s="23" t="str">
        <x:v>red-deck-JP-1997-</x:v>
      </x:c>
      <x:c r="D13" t="str">
        <x:v>JP</x:v>
      </x:c>
      <x:c r="E13" t="str">
        <x:v>Red Deck</x:v>
      </x:c>
      <x:c r="F13" t="n">
        <x:v>1997</x:v>
      </x:c>
      <x:c r="G13" t="str"/>
      <x:c r="H13" s="23" t="str">
        <x:v>pas d'image_url</x:v>
      </x:c>
      <x:c r="I13" s="23" t="str">
        <x:v>Remplacer l’URL et valider visuellement la langue et la variante</x:v>
      </x:c>
    </x:row>
    <x:row r="14">
      <x:c r="A14" t="str">
        <x:v>Image absente ou cassée</x:v>
      </x:c>
      <x:c r="B14" t="str">
        <x:v>Moyenne</x:v>
      </x:c>
      <x:c r="C14" s="23" t="str">
        <x:v>squirtle-deck-JP-1997-40</x:v>
      </x:c>
      <x:c r="D14" t="str">
        <x:v>JP</x:v>
      </x:c>
      <x:c r="E14" t="str">
        <x:v>Squirtle Deck</x:v>
      </x:c>
      <x:c r="F14" t="n">
        <x:v>1997</x:v>
      </x:c>
      <x:c r="G14" t="str">
        <x:v>40</x:v>
      </x:c>
      <x:c r="H14" s="23" t="str">
        <x:v>pas d'image_url</x:v>
      </x:c>
      <x:c r="I14" s="23" t="str">
        <x:v>Remplacer l’URL et valider visuellement la langue et la variante</x:v>
      </x:c>
    </x:row>
    <x:row r="15">
      <x:c r="A15" t="str">
        <x:v>Image absente ou cassée</x:v>
      </x:c>
      <x:c r="B15" t="str">
        <x:v>Moyenne</x:v>
      </x:c>
      <x:c r="C15" s="23" t="str">
        <x:v>squirtle-deck-JP-1997-16</x:v>
      </x:c>
      <x:c r="D15" t="str">
        <x:v>JP</x:v>
      </x:c>
      <x:c r="E15" t="str">
        <x:v>Squirtle Deck</x:v>
      </x:c>
      <x:c r="F15" t="n">
        <x:v>1997</x:v>
      </x:c>
      <x:c r="G15" t="str">
        <x:v>16</x:v>
      </x:c>
      <x:c r="H15" s="23" t="str">
        <x:v>pas d'image_url</x:v>
      </x:c>
      <x:c r="I15" s="23" t="str">
        <x:v>Remplacer l’URL et valider visuellement la langue et la variante</x:v>
      </x:c>
    </x:row>
    <x:row r="16">
      <x:c r="A16" t="str">
        <x:v>Image absente ou cassée</x:v>
      </x:c>
      <x:c r="B16" t="str">
        <x:v>Moyenne</x:v>
      </x:c>
      <x:c r="C16" s="23" t="str">
        <x:v>squirtle-deck-JP-1997-18</x:v>
      </x:c>
      <x:c r="D16" t="str">
        <x:v>JP</x:v>
      </x:c>
      <x:c r="E16" t="str">
        <x:v>Squirtle Deck</x:v>
      </x:c>
      <x:c r="F16" t="n">
        <x:v>1997</x:v>
      </x:c>
      <x:c r="G16" t="str">
        <x:v>18</x:v>
      </x:c>
      <x:c r="H16" s="23" t="str">
        <x:v>pas d'image_url</x:v>
      </x:c>
      <x:c r="I16" s="23" t="str">
        <x:v>Remplacer l’URL et valider visuellement la langue et la variante</x:v>
      </x:c>
    </x:row>
    <x:row r="17">
      <x:c r="A17" t="str">
        <x:v>Image absente ou cassée</x:v>
      </x:c>
      <x:c r="B17" t="str">
        <x:v>Moyenne</x:v>
      </x:c>
      <x:c r="C17" s="23" t="str">
        <x:v>squirtle-deck-JP-1997-37</x:v>
      </x:c>
      <x:c r="D17" t="str">
        <x:v>JP</x:v>
      </x:c>
      <x:c r="E17" t="str">
        <x:v>Squirtle Deck</x:v>
      </x:c>
      <x:c r="F17" t="n">
        <x:v>1997</x:v>
      </x:c>
      <x:c r="G17" t="str">
        <x:v>37</x:v>
      </x:c>
      <x:c r="H17" s="23" t="str">
        <x:v>pas d'image_url</x:v>
      </x:c>
      <x:c r="I17" s="23" t="str">
        <x:v>Remplacer l’URL et valider visuellement la langue et la variante</x:v>
      </x:c>
    </x:row>
    <x:row r="18">
      <x:c r="A18" t="str">
        <x:v>Image absente ou cassée</x:v>
      </x:c>
      <x:c r="B18" t="str">
        <x:v>Moyenne</x:v>
      </x:c>
      <x:c r="C18" s="23" t="str">
        <x:v>rocket-gang-JP-2000-</x:v>
      </x:c>
      <x:c r="D18" t="str">
        <x:v>JP</x:v>
      </x:c>
      <x:c r="E18" t="str">
        <x:v>Rocket Gang</x:v>
      </x:c>
      <x:c r="F18" t="n">
        <x:v>2000</x:v>
      </x:c>
      <x:c r="G18" t="str">
        <x:v>007</x:v>
      </x:c>
      <x:c r="H18" s="23" t="str">
        <x:v>pas d'image_url</x:v>
      </x:c>
      <x:c r="I18" s="23" t="str">
        <x:v>Remplacer l’URL et valider visuellement la langue et la variante</x:v>
      </x:c>
    </x:row>
    <x:row r="19">
      <x:c r="A19" t="str">
        <x:v>Image absente ou cassée</x:v>
      </x:c>
      <x:c r="B19" t="str">
        <x:v>Moyenne</x:v>
      </x:c>
      <x:c r="C19" s="23" t="str">
        <x:v>mcd-pkmne-JP-2002-7</x:v>
      </x:c>
      <x:c r="D19" t="str">
        <x:v>JP</x:v>
      </x:c>
      <x:c r="E19" t="str">
        <x:v>McDonald's Pokemon-e Minimum Pack</x:v>
      </x:c>
      <x:c r="F19" t="n">
        <x:v>2002</x:v>
      </x:c>
      <x:c r="G19" t="str">
        <x:v>7/18</x:v>
      </x:c>
      <x:c r="H19" s="23" t="str">
        <x:v>pas d'image_url</x:v>
      </x:c>
      <x:c r="I19" s="23" t="str">
        <x:v>Remplacer l’URL et valider visuellement la langue et la variante</x:v>
      </x:c>
    </x:row>
    <x:row r="20">
      <x:c r="A20" t="str">
        <x:v>Image absente ou cassée</x:v>
      </x:c>
      <x:c r="B20" t="str">
        <x:v>Moyenne</x:v>
      </x:c>
      <x:c r="C20" s="23" t="str">
        <x:v>pkmne-starter-JP-2002-17</x:v>
      </x:c>
      <x:c r="D20" t="str">
        <x:v>JP</x:v>
      </x:c>
      <x:c r="E20" t="str">
        <x:v>Pokemon-e Starter Deck</x:v>
      </x:c>
      <x:c r="F20" t="n">
        <x:v>2002</x:v>
      </x:c>
      <x:c r="G20" t="str">
        <x:v>17/29</x:v>
      </x:c>
      <x:c r="H20" s="23" t="str">
        <x:v>pas d'image_url</x:v>
      </x:c>
      <x:c r="I20" s="23" t="str">
        <x:v>Remplacer l’URL et valider visuellement la langue et la variante</x:v>
      </x:c>
    </x:row>
    <x:row r="21">
      <x:c r="A21" t="str">
        <x:v>Image absente ou cassée</x:v>
      </x:c>
      <x:c r="B21" t="str">
        <x:v>Moyenne</x:v>
      </x:c>
      <x:c r="C21" s="23" t="str">
        <x:v>pkmne-starter-JP-2002-18</x:v>
      </x:c>
      <x:c r="D21" t="str">
        <x:v>JP</x:v>
      </x:c>
      <x:c r="E21" t="str">
        <x:v>Pokemon-e Starter Deck</x:v>
      </x:c>
      <x:c r="F21" t="n">
        <x:v>2002</x:v>
      </x:c>
      <x:c r="G21" t="str">
        <x:v>18/29</x:v>
      </x:c>
      <x:c r="H21" s="23" t="str">
        <x:v>pas d'image_url</x:v>
      </x:c>
      <x:c r="I21" s="23" t="str">
        <x:v>Remplacer l’URL et valider visuellement la langue et la variante</x:v>
      </x:c>
    </x:row>
    <x:row r="22">
      <x:c r="A22" t="str">
        <x:v>Image absente ou cassée</x:v>
      </x:c>
      <x:c r="B22" t="str">
        <x:v>Moyenne</x:v>
      </x:c>
      <x:c r="C22" s="23" t="str">
        <x:v>advp-55-JP-2004-55</x:v>
      </x:c>
      <x:c r="D22" t="str">
        <x:v>JP</x:v>
      </x:c>
      <x:c r="E22" t="str">
        <x:v>ADV-P Promotional cards</x:v>
      </x:c>
      <x:c r="F22" t="n">
        <x:v>2004</x:v>
      </x:c>
      <x:c r="G22" t="str">
        <x:v>55/ADV-P</x:v>
      </x:c>
      <x:c r="H22" s="23" t="str">
        <x:v>pas d'image_url</x:v>
      </x:c>
      <x:c r="I22" s="23" t="str">
        <x:v>Remplacer l’URL et valider visuellement la langue et la variante</x:v>
      </x:c>
    </x:row>
    <x:row r="23">
      <x:c r="A23" t="str">
        <x:v>Image absente ou cassée</x:v>
      </x:c>
      <x:c r="B23" t="str">
        <x:v>Moyenne</x:v>
      </x:c>
      <x:c r="C23" s="23" t="str">
        <x:v>blastoise-starter-JP-2004-18</x:v>
      </x:c>
      <x:c r="D23" t="str">
        <x:v>JP</x:v>
      </x:c>
      <x:c r="E23" t="str">
        <x:v>Blastoise Starter Deck</x:v>
      </x:c>
      <x:c r="F23" t="n">
        <x:v>2004</x:v>
      </x:c>
      <x:c r="G23" t="str">
        <x:v>18/52</x:v>
      </x:c>
      <x:c r="H23" s="23" t="str">
        <x:v>pas d'image_url</x:v>
      </x:c>
      <x:c r="I23" s="23" t="str">
        <x:v>Remplacer l’URL et valider visuellement la langue et la variante</x:v>
      </x:c>
    </x:row>
    <x:row r="24">
      <x:c r="A24" t="str">
        <x:v>Image absente ou cassée</x:v>
      </x:c>
      <x:c r="B24" t="str">
        <x:v>Moyenne</x:v>
      </x:c>
      <x:c r="C24" s="23" t="str">
        <x:v>blastoise-starter-JP-2004-17</x:v>
      </x:c>
      <x:c r="D24" t="str">
        <x:v>JP</x:v>
      </x:c>
      <x:c r="E24" t="str">
        <x:v>Blastoise Starter Deck</x:v>
      </x:c>
      <x:c r="F24" t="n">
        <x:v>2004</x:v>
      </x:c>
      <x:c r="G24" t="str">
        <x:v>17/52</x:v>
      </x:c>
      <x:c r="H24" s="23" t="str">
        <x:v>pas d'image_url</x:v>
      </x:c>
      <x:c r="I24" s="23" t="str">
        <x:v>Remplacer l’URL et valider visuellement la langue et la variante</x:v>
      </x:c>
    </x:row>
    <x:row r="25">
      <x:c r="A25" t="str">
        <x:v>Image absente ou cassée</x:v>
      </x:c>
      <x:c r="B25" t="str">
        <x:v>Moyenne</x:v>
      </x:c>
      <x:c r="C25" s="23" t="str">
        <x:v>cg-league-EN-2006-63</x:v>
      </x:c>
      <x:c r="D25" t="str">
        <x:v>EN</x:v>
      </x:c>
      <x:c r="E25" t="str">
        <x:v>League &amp; Championship Cards</x:v>
      </x:c>
      <x:c r="F25" t="n">
        <x:v>2006</x:v>
      </x:c>
      <x:c r="G25" t="str">
        <x:v>63/100</x:v>
      </x:c>
      <x:c r="H25" s="23" t="str">
        <x:v>pas d'image_url</x:v>
      </x:c>
      <x:c r="I25" s="23" t="str">
        <x:v>Remplacer l’URL et valider visuellement la langue et la variante</x:v>
      </x:c>
    </x:row>
    <x:row r="26">
      <x:c r="A26" t="str">
        <x:v>Image absente ou cassée</x:v>
      </x:c>
      <x:c r="B26" t="str">
        <x:v>Moyenne</x:v>
      </x:c>
      <x:c r="C26" s="23" t="str">
        <x:v>miracle-crystal-JP-2006-18</x:v>
      </x:c>
      <x:c r="D26" t="str">
        <x:v>JP</x:v>
      </x:c>
      <x:c r="E26" t="str">
        <x:v>Miracle Crystal</x:v>
      </x:c>
      <x:c r="F26" t="n">
        <x:v>2006</x:v>
      </x:c>
      <x:c r="G26" t="str">
        <x:v>18/75</x:v>
      </x:c>
      <x:c r="H26" s="23" t="str">
        <x:v>pas d'image_url</x:v>
      </x:c>
      <x:c r="I26" s="23" t="str">
        <x:v>Remplacer l’URL et valider visuellement la langue et la variante</x:v>
      </x:c>
    </x:row>
    <x:row r="27">
      <x:c r="A27" t="str">
        <x:v>Image absente ou cassée</x:v>
      </x:c>
      <x:c r="B27" t="str">
        <x:v>Moyenne</x:v>
      </x:c>
      <x:c r="C27" s="23" t="str">
        <x:v>ocean-kyogre-JP-2006-3</x:v>
      </x:c>
      <x:c r="D27" t="str">
        <x:v>JP</x:v>
      </x:c>
      <x:c r="E27" t="str">
        <x:v>Ocean's Kyogre ex Starter Deck</x:v>
      </x:c>
      <x:c r="F27" t="n">
        <x:v>2006</x:v>
      </x:c>
      <x:c r="G27" t="str">
        <x:v>3/16</x:v>
      </x:c>
      <x:c r="H27" s="23" t="str">
        <x:v>pas d'image_url</x:v>
      </x:c>
      <x:c r="I27" s="23" t="str">
        <x:v>Remplacer l’URL et valider visuellement la langue et la variante</x:v>
      </x:c>
    </x:row>
    <x:row r="28">
      <x:c r="A28" t="str">
        <x:v>Image absente ou cassée</x:v>
      </x:c>
      <x:c r="B28" t="str">
        <x:v>Moyenne</x:v>
      </x:c>
      <x:c r="C28" s="23" t="str">
        <x:v>pcgp-121-JP-2006-121</x:v>
      </x:c>
      <x:c r="D28" t="str">
        <x:v>JP</x:v>
      </x:c>
      <x:c r="E28" t="str">
        <x:v>PCG-P Promotional cards</x:v>
      </x:c>
      <x:c r="F28" t="n">
        <x:v>2006</x:v>
      </x:c>
      <x:c r="G28" t="str">
        <x:v>121/PCG-P</x:v>
      </x:c>
      <x:c r="H28" s="23" t="str">
        <x:v>pas d'image_url</x:v>
      </x:c>
      <x:c r="I28" s="23" t="str">
        <x:v>Remplacer l’URL et valider visuellement la langue et la variante</x:v>
      </x:c>
    </x:row>
    <x:row r="29">
      <x:c r="A29" t="str">
        <x:v>Image absente ou cassée</x:v>
      </x:c>
      <x:c r="B29" t="str">
        <x:v>Moyenne</x:v>
      </x:c>
      <x:c r="C29" s="23" t="str">
        <x:v>wcd-2006-EN-83</x:v>
      </x:c>
      <x:c r="D29" t="str">
        <x:v>EN</x:v>
      </x:c>
      <x:c r="E29" t="str">
        <x:v>World Championship Decks</x:v>
      </x:c>
      <x:c r="F29" t="n">
        <x:v>2006</x:v>
      </x:c>
      <x:c r="G29" t="str">
        <x:v>83/112</x:v>
      </x:c>
      <x:c r="H29" s="23" t="str">
        <x:v>pas d'image_url</x:v>
      </x:c>
      <x:c r="I29" s="23" t="str">
        <x:v>Remplacer l’URL et valider visuellement la langue et la variante</x:v>
      </x:c>
    </x:row>
    <x:row r="30">
      <x:c r="A30" t="str">
        <x:v>Image absente ou cassée</x:v>
      </x:c>
      <x:c r="B30" t="str">
        <x:v>Moyenne</x:v>
      </x:c>
      <x:c r="C30" s="23" t="str">
        <x:v>shining-darkness-JP-2007-</x:v>
      </x:c>
      <x:c r="D30" t="str">
        <x:v>JP</x:v>
      </x:c>
      <x:c r="E30" t="str">
        <x:v>Shining Darkness</x:v>
      </x:c>
      <x:c r="F30" t="n">
        <x:v>2007</x:v>
      </x:c>
      <x:c r="G30" t="str"/>
      <x:c r="H30" s="23" t="str">
        <x:v>pas d'image_url</x:v>
      </x:c>
      <x:c r="I30" s="23" t="str">
        <x:v>Remplacer l’URL et valider visuellement la langue et la variante</x:v>
      </x:c>
    </x:row>
    <x:row r="31">
      <x:c r="A31" t="str">
        <x:v>Image absente ou cassée</x:v>
      </x:c>
      <x:c r="B31" t="str">
        <x:v>Moyenne</x:v>
      </x:c>
      <x:c r="C31" s="23" t="str">
        <x:v>dptp-9-JP-2009-9</x:v>
      </x:c>
      <x:c r="D31" t="str">
        <x:v>JP</x:v>
      </x:c>
      <x:c r="E31" t="str">
        <x:v>DPt-P Promotional cards</x:v>
      </x:c>
      <x:c r="F31" t="n">
        <x:v>2009</x:v>
      </x:c>
      <x:c r="G31" t="str">
        <x:v>9/DPt-P</x:v>
      </x:c>
      <x:c r="H31" s="23" t="str">
        <x:v>pas d'image_url</x:v>
      </x:c>
      <x:c r="I31" s="23" t="str">
        <x:v>Remplacer l’URL et valider visuellement la langue et la variante</x:v>
      </x:c>
    </x:row>
    <x:row r="32">
      <x:c r="A32" t="str">
        <x:v>Image absente ou cassée</x:v>
      </x:c>
      <x:c r="B32" t="str">
        <x:v>Moyenne</x:v>
      </x:c>
      <x:c r="C32" s="23" t="str">
        <x:v>galactic-conquest-JP-2009-23</x:v>
      </x:c>
      <x:c r="D32" t="str">
        <x:v>JP</x:v>
      </x:c>
      <x:c r="E32" t="str">
        <x:v>Galactic's Conquest</x:v>
      </x:c>
      <x:c r="F32" t="n">
        <x:v>2009</x:v>
      </x:c>
      <x:c r="G32" t="str">
        <x:v>23/96</x:v>
      </x:c>
      <x:c r="H32" s="23" t="str">
        <x:v>pas d'image_url</x:v>
      </x:c>
      <x:c r="I32" s="23" t="str">
        <x:v>Remplacer l’URL et valider visuellement la langue et la variante</x:v>
      </x:c>
    </x:row>
    <x:row r="33">
      <x:c r="A33" t="str">
        <x:v>Image absente ou cassée</x:v>
      </x:c>
      <x:c r="B33" t="str">
        <x:v>Moyenne</x:v>
      </x:c>
      <x:c r="C33" s="23" t="str">
        <x:v>blastoise-battle-JP-2010-1</x:v>
      </x:c>
      <x:c r="D33" t="str">
        <x:v>JP</x:v>
      </x:c>
      <x:c r="E33" t="str">
        <x:v>Blastoise Battle Starter Deck</x:v>
      </x:c>
      <x:c r="F33" t="n">
        <x:v>2010</x:v>
      </x:c>
      <x:c r="G33" t="str">
        <x:v>1/10</x:v>
      </x:c>
      <x:c r="H33" s="23" t="str">
        <x:v>pas d'image_url</x:v>
      </x:c>
      <x:c r="I33" s="23" t="str">
        <x:v>Remplacer l’URL et valider visuellement la langue et la variante</x:v>
      </x:c>
    </x:row>
    <x:row r="34">
      <x:c r="A34" t="str">
        <x:v>Image absente ou cassée</x:v>
      </x:c>
      <x:c r="B34" t="str">
        <x:v>Moyenne</x:v>
      </x:c>
      <x:c r="C34" s="23" t="str">
        <x:v>cold-flare-JP-2012-12</x:v>
      </x:c>
      <x:c r="D34" t="str">
        <x:v>JP</x:v>
      </x:c>
      <x:c r="E34" t="str">
        <x:v>Cold Flare</x:v>
      </x:c>
      <x:c r="F34" t="n">
        <x:v>2012</x:v>
      </x:c>
      <x:c r="G34" t="str">
        <x:v>12/59</x:v>
      </x:c>
      <x:c r="H34" s="23" t="str">
        <x:v>pas d'image_url</x:v>
      </x:c>
      <x:c r="I34" s="23" t="str">
        <x:v>Remplacer l’URL et valider visuellement la langue et la variante</x:v>
      </x:c>
    </x:row>
    <x:row r="35">
      <x:c r="A35" t="str">
        <x:v>Image absente ou cassée</x:v>
      </x:c>
      <x:c r="B35" t="str">
        <x:v>Moyenne</x:v>
      </x:c>
      <x:c r="C35" s="23" t="str">
        <x:v>bkb-battle-JP-2013-1</x:v>
      </x:c>
      <x:c r="D35" t="str">
        <x:v>JP</x:v>
      </x:c>
      <x:c r="E35" t="str">
        <x:v>Black Kyurem-EX Battle Strength Deck</x:v>
      </x:c>
      <x:c r="F35" t="n">
        <x:v>2013</x:v>
      </x:c>
      <x:c r="G35" t="str">
        <x:v>1/18</x:v>
      </x:c>
      <x:c r="H35" s="23" t="str">
        <x:v>pas d'image_url</x:v>
      </x:c>
      <x:c r="I35" s="23" t="str">
        <x:v>Remplacer l’URL et valider visuellement la langue et la variante</x:v>
      </x:c>
    </x:row>
    <x:row r="36">
      <x:c r="A36" t="str">
        <x:v>Image absente ou cassée</x:v>
      </x:c>
      <x:c r="B36" t="str">
        <x:v>Moyenne</x:v>
      </x:c>
      <x:c r="C36" s="23" t="str">
        <x:v>blastoise-kyurem-JP-2013-1</x:v>
      </x:c>
      <x:c r="D36" t="str">
        <x:v>JP</x:v>
      </x:c>
      <x:c r="E36" t="str">
        <x:v>Blastoise + Kyurem-EX Combo Deck</x:v>
      </x:c>
      <x:c r="F36" t="n">
        <x:v>2013</x:v>
      </x:c>
      <x:c r="G36" t="str">
        <x:v>1/18</x:v>
      </x:c>
      <x:c r="H36" s="23" t="str">
        <x:v>pas d'image_url</x:v>
      </x:c>
      <x:c r="I36" s="23" t="str">
        <x:v>Remplacer l’URL et valider visuellement la langue et la variante</x:v>
      </x:c>
    </x:row>
    <x:row r="37">
      <x:c r="A37" t="str">
        <x:v>Image absente ou cassée</x:v>
      </x:c>
      <x:c r="B37" t="str">
        <x:v>Moyenne</x:v>
      </x:c>
      <x:c r="C37" s="23" t="str">
        <x:v>mfb-blue-EN-2022-</x:v>
      </x:c>
      <x:c r="D37" t="str">
        <x:v>EN</x:v>
      </x:c>
      <x:c r="E37" t="str">
        <x:v>My First Battle</x:v>
      </x:c>
      <x:c r="F37" t="n">
        <x:v>2022</x:v>
      </x:c>
      <x:c r="G37" t="str"/>
      <x:c r="H37" s="23" t="str">
        <x:v>pas d'image_url</x:v>
      </x:c>
      <x:c r="I37" s="23" t="str">
        <x:v>Remplacer l’URL et valider visuellement la langue et la variante</x:v>
      </x:c>
    </x:row>
    <x:row r="38">
      <x:c r="A38" t="str">
        <x:v>Image absente ou cassée</x:v>
      </x:c>
      <x:c r="B38" t="str">
        <x:v>Moyenne</x:v>
      </x:c>
      <x:c r="C38" s="23" t="str">
        <x:v>mfb-EN-2022-</x:v>
      </x:c>
      <x:c r="D38" t="str">
        <x:v>EN</x:v>
      </x:c>
      <x:c r="E38" t="str">
        <x:v>My First Battle</x:v>
      </x:c>
      <x:c r="F38" t="n">
        <x:v>2022</x:v>
      </x:c>
      <x:c r="G38" t="str"/>
      <x:c r="H38" s="23" t="str">
        <x:v>pas d'image_url</x:v>
      </x:c>
      <x:c r="I38" s="23" t="str">
        <x:v>Remplacer l’URL et valider visuellement la langue et la variante</x:v>
      </x:c>
    </x:row>
    <x:row r="39">
      <x:c r="A39" t="str">
        <x:v>Image absente ou cassée</x:v>
      </x:c>
      <x:c r="B39" t="str">
        <x:v>Moyenne</x:v>
      </x:c>
      <x:c r="C39" s="23" t="str">
        <x:v>sp-290-JP-2022-290</x:v>
      </x:c>
      <x:c r="D39" t="str">
        <x:v>JP</x:v>
      </x:c>
      <x:c r="E39" t="str">
        <x:v>S-P Promotional cards</x:v>
      </x:c>
      <x:c r="F39" t="n">
        <x:v>2022</x:v>
      </x:c>
      <x:c r="G39" t="str">
        <x:v>290/S-P</x:v>
      </x:c>
      <x:c r="H39" s="23" t="str">
        <x:v>pas d'image_url</x:v>
      </x:c>
      <x:c r="I39" s="23" t="str">
        <x:v>Remplacer l’URL et valider visuellement la langue et la variante</x:v>
      </x:c>
    </x:row>
    <x:row r="40">
      <x:c r="A40" t="str">
        <x:v>Image absente ou cassée</x:v>
      </x:c>
      <x:c r="B40" t="str">
        <x:v>Moyenne</x:v>
      </x:c>
      <x:c r="C40" s="23" t="str">
        <x:v>svp-61-JP-2023-61</x:v>
      </x:c>
      <x:c r="D40" t="str">
        <x:v>JP</x:v>
      </x:c>
      <x:c r="E40" t="str">
        <x:v>SV-P Promotional cards</x:v>
      </x:c>
      <x:c r="F40" t="n">
        <x:v>2023</x:v>
      </x:c>
      <x:c r="G40" t="str">
        <x:v>61/SV-P</x:v>
      </x:c>
      <x:c r="H40" s="23" t="str">
        <x:v>pas d'image_url</x:v>
      </x:c>
      <x:c r="I40" s="23" t="str">
        <x:v>Remplacer l’URL et valider visuellement la langue et la variante</x:v>
      </x:c>
    </x:row>
    <x:row r="41">
      <x:c r="A41" t="str">
        <x:v>Image absente ou cassée</x:v>
      </x:c>
      <x:c r="B41" t="str">
        <x:v>Moyenne</x:v>
      </x:c>
      <x:c r="C41" s="23" t="str">
        <x:v>tcg-classic-EN-2023-1</x:v>
      </x:c>
      <x:c r="D41" t="str">
        <x:v>EN</x:v>
      </x:c>
      <x:c r="E41" t="str">
        <x:v>Trading Card Game Classic</x:v>
      </x:c>
      <x:c r="F41" t="n">
        <x:v>2023</x:v>
      </x:c>
      <x:c r="G41" t="str">
        <x:v>1/34</x:v>
      </x:c>
      <x:c r="H41" s="23" t="str">
        <x:v>pas d'image_url</x:v>
      </x:c>
      <x:c r="I41" s="23" t="str">
        <x:v>Remplacer l’URL et valider visuellement la langue et la variante</x:v>
      </x:c>
    </x:row>
    <x:row r="42">
      <x:c r="A42" t="str">
        <x:v>Image absente ou cassée</x:v>
      </x:c>
      <x:c r="B42" t="str">
        <x:v>Moyenne</x:v>
      </x:c>
      <x:c r="C42" s="23" t="str">
        <x:v>vsc-special-JP-2023-14</x:v>
      </x:c>
      <x:c r="D42" t="str">
        <x:v>JP</x:v>
      </x:c>
      <x:c r="E42" t="str">
        <x:v>Venusaur &amp; Charizard &amp; Blastoise Special Deck Set ex</x:v>
      </x:c>
      <x:c r="F42" t="n">
        <x:v>2023</x:v>
      </x:c>
      <x:c r="G42" t="str">
        <x:v>14/49</x:v>
      </x:c>
      <x:c r="H42" s="23" t="str">
        <x:v>pas d'image_url</x:v>
      </x:c>
      <x:c r="I42" s="23" t="str">
        <x:v>Remplacer l’URL et valider visuellement la langue et la variante</x:v>
      </x:c>
    </x:row>
    <x:row r="43">
      <x:c r="A43" t="str">
        <x:v>Image absente ou cassée</x:v>
      </x:c>
      <x:c r="B43" t="str">
        <x:v>Moyenne</x:v>
      </x:c>
      <x:c r="C43" s="23" t="str">
        <x:v>vsc-special-JP-2023-52</x:v>
      </x:c>
      <x:c r="D43" t="str">
        <x:v>JP</x:v>
      </x:c>
      <x:c r="E43" t="str">
        <x:v>Venusaur &amp; Charizard &amp; Blastoise Special Deck Set ex</x:v>
      </x:c>
      <x:c r="F43" t="n">
        <x:v>2023</x:v>
      </x:c>
      <x:c r="G43" t="str">
        <x:v>52/49</x:v>
      </x:c>
      <x:c r="H43" s="23" t="str">
        <x:v>pas d'image_url</x:v>
      </x:c>
      <x:c r="I43" s="23" t="str">
        <x:v>Remplacer l’URL et valider visuellement la langue et la variante</x:v>
      </x:c>
    </x:row>
    <x:row r="44">
      <x:c r="A44" t="str">
        <x:v>Image absente ou cassée</x:v>
      </x:c>
      <x:c r="B44" t="str">
        <x:v>Moyenne</x:v>
      </x:c>
      <x:c r="C44" s="23" t="str">
        <x:v>30thp-3-JP-2024-3</x:v>
      </x:c>
      <x:c r="D44" t="str">
        <x:v>ZH</x:v>
      </x:c>
      <x:c r="E44" t="str">
        <x:v>30th-P Promotional cards</x:v>
      </x:c>
      <x:c r="F44" t="n">
        <x:v>2024</x:v>
      </x:c>
      <x:c r="G44" t="str">
        <x:v>3/30th-P</x:v>
      </x:c>
      <x:c r="H44" s="23" t="str">
        <x:v>pas d'image_url</x:v>
      </x:c>
      <x:c r="I44" s="23" t="str">
        <x:v>Remplacer l’URL et valider visuellement la langue et la variante</x:v>
      </x:c>
    </x:row>
    <x:row r="45">
      <x:c r="A45" t="str">
        <x:v>Image absente ou cassée</x:v>
      </x:c>
      <x:c r="B45" t="str">
        <x:v>Moyenne</x:v>
      </x:c>
      <x:c r="C45" s="23" t="str">
        <x:v>mep-promo-EN-2024-39</x:v>
      </x:c>
      <x:c r="D45" t="str">
        <x:v>EN</x:v>
      </x:c>
      <x:c r="E45" t="str">
        <x:v>MEP Black Star Promos</x:v>
      </x:c>
      <x:c r="F45" t="n">
        <x:v>2024</x:v>
      </x:c>
      <x:c r="G45" t="str">
        <x:v>039</x:v>
      </x:c>
      <x:c r="H45" s="23" t="str">
        <x:v>HTTP 404</x:v>
      </x:c>
      <x:c r="I45" s="23" t="str">
        <x:v>Remplacer l’URL et valider visuellement la langue et la variante</x:v>
      </x:c>
    </x:row>
    <x:row r="46">
      <x:c r="A46" t="str">
        <x:v>Métadonnée à corriger</x:v>
      </x:c>
      <x:c r="B46" t="str">
        <x:v>Haute</x:v>
      </x:c>
      <x:c r="C46" s="23" t="str">
        <x:v>base-JP-1996-</x:v>
      </x:c>
      <x:c r="D46" t="str">
        <x:v>JP</x:v>
      </x:c>
      <x:c r="E46" t="str">
        <x:v>Expansion Pack</x:v>
      </x:c>
      <x:c r="F46" t="n">
        <x:v>1996</x:v>
      </x:c>
      <x:c r="G46" t="str">
        <x:v>007 → 023</x:v>
      </x:c>
      <x:c r="H46" s="23" t="str">
        <x:v>007 semble être le numéro Pokédex; TCGdex et les checklists indiquent 023 pour la carte</x:v>
      </x:c>
      <x:c r="I46" s="23" t="str">
        <x:v>Vérifier le scan puis corriger card_number en 023</x:v>
      </x:c>
    </x:row>
    <x:row r="47">
      <x:c r="A47" t="str">
        <x:v>Métadonnée à vérifier</x:v>
      </x:c>
      <x:c r="B47" t="str">
        <x:v>Moyenne</x:v>
      </x:c>
      <x:c r="C47" s="23" t="str">
        <x:v>mep-promo-EN-2024-39</x:v>
      </x:c>
      <x:c r="D47" t="str">
        <x:v>EN</x:v>
      </x:c>
      <x:c r="E47" t="str">
        <x:v>MEP Black Star Promos</x:v>
      </x:c>
      <x:c r="F47" t="n">
        <x:v>2024</x:v>
      </x:c>
      <x:c r="G47" t="str">
        <x:v>039</x:v>
      </x:c>
      <x:c r="H47" s="23" t="str">
        <x:v>TCGdex date l’entrée de 2025; certaines fiches commerciales l’appellent 2026</x:v>
      </x:c>
      <x:c r="I47" s="23" t="str">
        <x:v>Conserver une date de sortie officielle par région, pas l’année d’achat</x:v>
      </x:c>
    </x:row>
  </x:sheetData>
  <x:mergeCells>
    <x:mergeCell ref="A1:I1"/>
    <x:mergeCell ref="A2:I2"/>
  </x:mergeCells>
  <x:conditionalFormatting sqref="B6:B47">
    <x:cfRule type="containsText" dxfId="13" priority="1" operator="containsText" text="Haute"/>
    <x:cfRule type="containsText" dxfId="14" priority="2" operator="containsText" text="Moyenne"/>
  </x:conditionalFormatting>
  <x:pageMargins left="0.7" right="0.7" top="0.75" bottom="0.75" header="0.3" footer="0.3"/>
  <x:tableParts count="1">
    <x:tablePart xmlns:r="http://schemas.openxmlformats.org/officeDocument/2006/relationships" r:id="R4a3e430c8c7643c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62" hidden="0" customWidth="1"/>
    <x:col min="4" max="4" width="50" hidden="0" customWidth="1"/>
    <x:col min="5" max="5" width="60" hidden="0" customWidth="1"/>
  </x:cols>
  <x:sheetData>
    <x:row r="1" ht="32" customHeight="1">
      <x:c r="A1" s="3" t="str">
        <x:v>Sources et couverture</x:v>
      </x:c>
      <x:c r="B1" s="3"/>
      <x:c r="C1" s="3"/>
      <x:c r="D1" s="3"/>
      <x:c r="E1" s="3"/>
    </x:row>
    <x:row r="2" ht="30" customHeight="1">
      <x:c r="A2" s="8" t="str">
        <x:v>URLs en clair pour que chaque ligne du tableau puisse être auditée ou actualisée.</x:v>
      </x:c>
      <x:c r="B2" s="8"/>
      <x:c r="C2" s="8"/>
      <x:c r="D2" s="8"/>
      <x:c r="E2" s="8"/>
    </x:row>
    <x:row r="5" ht="28" customHeight="1">
      <x:c r="A5" s="16" t="str">
        <x:v>Source</x:v>
      </x:c>
      <x:c r="B5" s="16" t="str">
        <x:v>Langue / région</x:v>
      </x:c>
      <x:c r="C5" s="16" t="str">
        <x:v>URL</x:v>
      </x:c>
      <x:c r="D5" s="16" t="str">
        <x:v>Utilisation</x:v>
      </x:c>
      <x:c r="E5" s="16" t="str">
        <x:v>Limite / résultat</x:v>
      </x:c>
    </x:row>
    <x:row r="6">
      <x:c r="A6" t="str">
        <x:v>TCGdex</x:v>
      </x:c>
      <x:c r="B6" t="str">
        <x:v>EN</x:v>
      </x:c>
      <x:c r="C6" t="str">
        <x:v>https://api.tcgdex.net/v2/en/cards?name=Squirtle</x:v>
      </x:c>
      <x:c r="D6" s="23" t="str">
        <x:v>Recherche par nom localisé</x:v>
      </x:c>
      <x:c r="E6" s="23" t="str">
        <x:v>OK — 35 résultat(s) nommé(s)</x:v>
      </x:c>
    </x:row>
    <x:row r="7">
      <x:c r="A7" t="str">
        <x:v>TCGdex</x:v>
      </x:c>
      <x:c r="B7" t="str">
        <x:v>FR</x:v>
      </x:c>
      <x:c r="C7" t="str">
        <x:v>https://api.tcgdex.net/v2/fr/cards?name=Carapuce</x:v>
      </x:c>
      <x:c r="D7" s="23" t="str">
        <x:v>Recherche par nom localisé</x:v>
      </x:c>
      <x:c r="E7" s="23" t="str">
        <x:v>OK — 32 résultat(s) nommé(s)</x:v>
      </x:c>
    </x:row>
    <x:row r="8">
      <x:c r="A8" t="str">
        <x:v>TCGdex</x:v>
      </x:c>
      <x:c r="B8" t="str">
        <x:v>DE</x:v>
      </x:c>
      <x:c r="C8" t="str">
        <x:v>https://api.tcgdex.net/v2/de/cards?name=Schiggy</x:v>
      </x:c>
      <x:c r="D8" s="23" t="str">
        <x:v>Recherche par nom localisé</x:v>
      </x:c>
      <x:c r="E8" s="23" t="str">
        <x:v>OK — 29 résultat(s) nommé(s)</x:v>
      </x:c>
    </x:row>
    <x:row r="9">
      <x:c r="A9" t="str">
        <x:v>TCGdex</x:v>
      </x:c>
      <x:c r="B9" t="str">
        <x:v>ES</x:v>
      </x:c>
      <x:c r="C9" t="str">
        <x:v>https://api.tcgdex.net/v2/es/cards?name=Squirtle</x:v>
      </x:c>
      <x:c r="D9" s="23" t="str">
        <x:v>Recherche par nom localisé</x:v>
      </x:c>
      <x:c r="E9" s="23" t="str">
        <x:v>OK — 16 résultat(s) nommé(s)</x:v>
      </x:c>
    </x:row>
    <x:row r="10">
      <x:c r="A10" t="str">
        <x:v>TCGdex</x:v>
      </x:c>
      <x:c r="B10" t="str">
        <x:v>IT</x:v>
      </x:c>
      <x:c r="C10" t="str">
        <x:v>https://api.tcgdex.net/v2/it/cards?name=Squirtle</x:v>
      </x:c>
      <x:c r="D10" s="23" t="str">
        <x:v>Recherche par nom localisé</x:v>
      </x:c>
      <x:c r="E10" s="23" t="str">
        <x:v>OK — 17 résultat(s) nommé(s)</x:v>
      </x:c>
    </x:row>
    <x:row r="11">
      <x:c r="A11" t="str">
        <x:v>TCGdex</x:v>
      </x:c>
      <x:c r="B11" t="str">
        <x:v>PT</x:v>
      </x:c>
      <x:c r="C11" t="str">
        <x:v>https://api.tcgdex.net/v2/pt/cards?name=Squirtle</x:v>
      </x:c>
      <x:c r="D11" s="23" t="str">
        <x:v>Recherche par nom localisé</x:v>
      </x:c>
      <x:c r="E11" s="23" t="str">
        <x:v>OK — 13 résultat(s) nommé(s)</x:v>
      </x:c>
    </x:row>
    <x:row r="12">
      <x:c r="A12" t="str">
        <x:v>TCGdex</x:v>
      </x:c>
      <x:c r="B12" t="str">
        <x:v>JP</x:v>
      </x:c>
      <x:c r="C12" t="str">
        <x:v>https://api.tcgdex.net/v2/ja/cards?name=%E3%82%BC%E3%83%8B%E3%82%AC%E3%83%A1</x:v>
      </x:c>
      <x:c r="D12" s="23" t="str">
        <x:v>Recherche par nom localisé</x:v>
      </x:c>
      <x:c r="E12" s="23" t="str">
        <x:v>OK — 5 résultat(s) nommé(s)</x:v>
      </x:c>
    </x:row>
    <x:row r="13">
      <x:c r="A13" t="str">
        <x:v>TCGdex</x:v>
      </x:c>
      <x:c r="B13" t="str">
        <x:v>KR</x:v>
      </x:c>
      <x:c r="C13" t="str">
        <x:v>https://api.tcgdex.net/v2/ko/cards?name=%EA%BC%AC%EB%B6%80%EA%B8%B0</x:v>
      </x:c>
      <x:c r="D13" s="23" t="str">
        <x:v>Recherche par nom localisé</x:v>
      </x:c>
      <x:c r="E13" s="23" t="str">
        <x:v>OK — 0 résultat(s) nommé(s)</x:v>
      </x:c>
    </x:row>
    <x:row r="14">
      <x:c r="A14" t="str">
        <x:v>TCGdex</x:v>
      </x:c>
      <x:c r="B14" t="str">
        <x:v>ZH-TW</x:v>
      </x:c>
      <x:c r="C14" t="str">
        <x:v>https://api.tcgdex.net/v2/zh-tw/cards?name=%E5%82%91%E5%B0%BC%E9%BE%9C</x:v>
      </x:c>
      <x:c r="D14" s="23" t="str">
        <x:v>Recherche par nom localisé</x:v>
      </x:c>
      <x:c r="E14" s="23" t="str">
        <x:v>OK — 3 résultat(s) nommé(s)</x:v>
      </x:c>
    </x:row>
    <x:row r="15">
      <x:c r="A15" t="str">
        <x:v>TCGdex</x:v>
      </x:c>
      <x:c r="B15" t="str">
        <x:v>ZH-CN</x:v>
      </x:c>
      <x:c r="C15" t="str">
        <x:v>https://api.tcgdex.net/v2/zh-cn/cards?name=%E6%9D%B0%E5%B0%BC%E9%BE%9F</x:v>
      </x:c>
      <x:c r="D15" s="23" t="str">
        <x:v>Recherche par nom localisé</x:v>
      </x:c>
      <x:c r="E15" s="23" t="str">
        <x:v>OK — 0 résultat(s) nommé(s)</x:v>
      </x:c>
    </x:row>
    <x:row r="16">
      <x:c r="A16" t="str">
        <x:v>TCGdex</x:v>
      </x:c>
      <x:c r="B16" t="str">
        <x:v>ID</x:v>
      </x:c>
      <x:c r="C16" t="str">
        <x:v>https://api.tcgdex.net/v2/id/cards?name=Squirtle</x:v>
      </x:c>
      <x:c r="D16" s="23" t="str">
        <x:v>Recherche par nom localisé</x:v>
      </x:c>
      <x:c r="E16" s="23" t="str">
        <x:v>OK — 2 résultat(s) nommé(s)</x:v>
      </x:c>
    </x:row>
    <x:row r="17">
      <x:c r="A17" t="str">
        <x:v>TCGdex</x:v>
      </x:c>
      <x:c r="B17" t="str">
        <x:v>TH</x:v>
      </x:c>
      <x:c r="C17" t="str">
        <x:v>https://api.tcgdex.net/v2/th/cards?name=%E0%B9%80%E0%B8%8B%E0%B8%99%E0%B8%B4%E0%B8%81%E0%B8%B2%E0%B9%80%E0%B8%A1%E0%B8%B0</x:v>
      </x:c>
      <x:c r="D17" s="23" t="str">
        <x:v>Recherche par nom localisé</x:v>
      </x:c>
      <x:c r="E17" s="23" t="str">
        <x:v>OK — 2 résultat(s) nommé(s)</x:v>
      </x:c>
    </x:row>
    <x:row r="18">
      <x:c r="A18" t="str">
        <x:v>Catalogue public</x:v>
      </x:c>
      <x:c r="B18" t="str">
        <x:v>Toutes</x:v>
      </x:c>
      <x:c r="C18" t="str">
        <x:v>https://maison-de-carapuce.vercel.app/catalogue</x:v>
      </x:c>
      <x:c r="D18" s="23" t="str">
        <x:v>Extraction du catalogue actuel</x:v>
      </x:c>
      <x:c r="E18" s="23" t="str">
        <x:v>160 lignes au 2026-08-07</x:v>
      </x:c>
    </x:row>
    <x:row r="19">
      <x:c r="A19" t="str">
        <x:v>Bulbapedia</x:v>
      </x:c>
      <x:c r="B19" t="str">
        <x:v>EN/JP</x:v>
      </x:c>
      <x:c r="C19" t="str">
        <x:v>https://bulbapedia.bulbagarden.net/wiki/Squirtle_(TCG)</x:v>
      </x:c>
      <x:c r="D19" s="23" t="str">
        <x:v>Liste des dessins de cartes nommées Squirtle</x:v>
      </x:c>
      <x:c r="E19" s="23" t="str">
        <x:v>Base de contrôle, pas une liste de toutes les variantes régionales</x:v>
      </x:c>
    </x:row>
    <x:row r="20">
      <x:c r="A20" t="str">
        <x:v>TCGdex</x:v>
      </x:c>
      <x:c r="B20" t="str">
        <x:v>Multilingue</x:v>
      </x:c>
      <x:c r="C20" t="str">
        <x:v>https://tcgdex.dev/</x:v>
      </x:c>
      <x:c r="D20" s="23" t="str">
        <x:v>API de cartes, sets et images localisées</x:v>
      </x:c>
      <x:c r="E20" s="23" t="str">
        <x:v>Couverture variable selon la langue; zéro résultat ne prouve pas l'absence</x:v>
      </x:c>
    </x:row>
    <x:row r="21">
      <x:c r="A21" t="str">
        <x:v>RotomAmiti via Scribd</x:v>
      </x:c>
      <x:c r="B21" t="str">
        <x:v>EN + exclusivités</x:v>
      </x:c>
      <x:c r="C21" t="str">
        <x:v>https://www.scribd.com/document/909814191/RotomAmiti-s-Cameo-Pokemon-Card-Database</x:v>
      </x:c>
      <x:c r="D21" s="23" t="str">
        <x:v>Base de caméos, mise à jour 2025-08-11</x:v>
      </x:c>
      <x:c r="E21" s="23" t="str">
        <x:v>Source secondaire; vérification carte par carte effectuée via TCGdex/PokéCardex/Pokumon</x:v>
      </x:c>
    </x:row>
    <x:row r="22">
      <x:c r="A22" t="str">
        <x:v>Elite Fourum</x:v>
      </x:c>
      <x:c r="B22" t="str">
        <x:v>EN</x:v>
      </x:c>
      <x:c r="C22" t="str">
        <x:v>https://www.elitefourum.com/t/list-of-all-pokemon-tcg-cameos-english/31105</x:v>
      </x:c>
      <x:c r="D22" s="23" t="str">
        <x:v>Liste communautaire de caméos anglais</x:v>
      </x:c>
      <x:c r="E22" s="23" t="str">
        <x:v>Confirme notamment 10 caméos anglais historiques</x:v>
      </x:c>
    </x:row>
    <x:row r="23">
      <x:c r="A23" t="str">
        <x:v>Quest Corner</x:v>
      </x:c>
      <x:c r="B23" t="str">
        <x:v>ZH-CN</x:v>
      </x:c>
      <x:c r="C23" t="str">
        <x:v>https://questcorner.fr/products/carte-pokemon-exploration-de-leaf-033-024-sr-csmpi-chinois-simplifie?variant=55944724349276</x:v>
      </x:c>
      <x:c r="D23" s="23" t="str">
        <x:v>Signalement Exploration de Leaf 033/024</x:v>
      </x:c>
      <x:c r="E23" s="23" t="str">
        <x:v>Page commerciale; identité recoupée avec PokéCardex</x:v>
      </x:c>
    </x:row>
    <x:row r="24">
      <x:c r="A24" t="str">
        <x:v>PokéCardex</x:v>
      </x:c>
      <x:c r="B24" t="str">
        <x:v>ZH-CN</x:v>
      </x:c>
      <x:c r="C24" t="str">
        <x:v>https://www.pokecardex.com/series/chn/CSMPIC</x:v>
      </x:c>
      <x:c r="D24" s="23" t="str">
        <x:v>Battle Party Set Reward Pack / CSMPiC</x:v>
      </x:c>
      <x:c r="E24" s="23" t="str">
        <x:v>Image du 033/024 récupérée</x:v>
      </x:c>
    </x:row>
    <x:row r="25">
      <x:c r="A25" t="str">
        <x:v>PokéCardex</x:v>
      </x:c>
      <x:c r="B25" t="str">
        <x:v>JP</x:v>
      </x:c>
      <x:c r="C25" t="str">
        <x:v>https://www.pokecardex.com/series/jp/XYP</x:v>
      </x:c>
      <x:c r="D25" s="23" t="str">
        <x:v>Promos XY-P 279 et 298</x:v>
      </x:c>
      <x:c r="E25" s="23" t="str">
        <x:v>Images récupérées</x:v>
      </x:c>
    </x:row>
    <x:row r="26">
      <x:c r="A26" t="str">
        <x:v>PokéCardex</x:v>
      </x:c>
      <x:c r="B26" t="str">
        <x:v>JP</x:v>
      </x:c>
      <x:c r="C26" t="str">
        <x:v>https://www.pokecardex.com/series/jp/SM12A</x:v>
      </x:c>
      <x:c r="D26" s="23" t="str">
        <x:v>Tag All Stars 196/173</x:v>
      </x:c>
      <x:c r="E26" s="23" t="str">
        <x:v>Image récupérée</x:v>
      </x:c>
    </x:row>
    <x:row r="27">
      <x:c r="A27" t="str">
        <x:v>Pokumon</x:v>
      </x:c>
      <x:c r="B27" t="str">
        <x:v>JP</x:v>
      </x:c>
      <x:c r="C27" t="str">
        <x:v>https://pokumon.com/card/pikachus-summer-vacation-corocoro-1998-unnumbered/</x:v>
      </x:c>
      <x:c r="D27" s="23" t="str">
        <x:v>Jumbo Pikachu’s Summer Vacation</x:v>
      </x:c>
      <x:c r="E27" s="23" t="str">
        <x:v>Image récupérée</x:v>
      </x:c>
    </x:row>
    <x:row r="28">
      <x:c r="A28" t="str">
        <x:v>Pokumon</x:v>
      </x:c>
      <x:c r="B28" t="str">
        <x:v>JP</x:v>
      </x:c>
      <x:c r="C28" t="str">
        <x:v>https://pokumon.com/card/pokemon-valley-corocoro-1999-unnumbered/</x:v>
      </x:c>
      <x:c r="D28" s="23" t="str">
        <x:v>Jumbo Pokémon Valley</x:v>
      </x:c>
      <x:c r="E28" s="23" t="str">
        <x:v>Image récupérée</x:v>
      </x:c>
    </x:row>
    <x:row r="29">
      <x:c r="A29" t="str">
        <x:v>Pokumon</x:v>
      </x:c>
      <x:c r="B29" t="str">
        <x:v>JP</x:v>
      </x:c>
      <x:c r="C29" t="str">
        <x:v>https://pokumon.com/card/tropical-present-pokemon-card-fan-club-2001-unnumbered/</x:v>
      </x:c>
      <x:c r="D29" s="23" t="str">
        <x:v>Jumbo Tropical Present ©2001</x:v>
      </x:c>
      <x:c r="E29" s="23" t="str">
        <x:v>Image récupérée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b2f47de69ad4ce5"/>
  </x:tableParts>
</x:worksheet>
</file>